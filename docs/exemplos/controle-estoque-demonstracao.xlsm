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240" yWindow="105" windowWidth="14805" windowHeight="8010"/>
  </bookViews>
  <sheets>
    <sheet name="Estoque" sheetId="1" r:id="rId1"/>
    <sheet name="Registro" sheetId="2" r:id="rId2"/>
    <sheet name="EstoqueLampada" sheetId="3" r:id="rId3"/>
    <sheet name="RegistroLampada" sheetId="4" r:id="rId4"/>
  </sheets>
  <externalReferences>
    <externalReference r:id="rId5"/>
  </externalReferences>
  <calcPr calcId="152511"/>
</workbook>
</file>

<file path=xl/calcChain.xml><?xml version="1.0" encoding="utf-8"?>
<calcChain xmlns="http://schemas.openxmlformats.org/spreadsheetml/2006/main">
  <c r="Z14" i="3" l="1"/>
  <c r="F13" i="3"/>
  <c r="F12" i="3"/>
  <c r="F11" i="3"/>
  <c r="F10" i="3"/>
  <c r="F9" i="3"/>
  <c r="F8" i="3"/>
  <c r="F7" i="3"/>
  <c r="F6" i="3"/>
  <c r="F5" i="3"/>
  <c r="F4" i="3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<sst xmlns="http://schemas.openxmlformats.org/spreadsheetml/2006/main" count="319" uniqueCount="87">
  <si>
    <t>Estoque Atual</t>
  </si>
  <si>
    <t>Quantidade</t>
  </si>
  <si>
    <t>Pedir</t>
  </si>
  <si>
    <t>Estoque Atual (Retirada)</t>
  </si>
  <si>
    <t>Estoque Atual (Entrada)</t>
  </si>
  <si>
    <t>SIM</t>
  </si>
  <si>
    <t>,</t>
  </si>
  <si>
    <t>Observações:</t>
  </si>
  <si>
    <t>NOME:</t>
  </si>
  <si>
    <t>DATA:</t>
  </si>
  <si>
    <t>REGISTRAR RETIRADA</t>
  </si>
  <si>
    <t>REGISTRAR ENTRADA</t>
  </si>
  <si>
    <t>VISUALIZAR REGISTROS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</si>
  <si>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</si>
  <si>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</si>
  <si>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</si>
  <si>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</si>
  <si>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</si>
  <si>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</si>
  <si>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</si>
  <si>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</si>
  <si>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</si>
  <si>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</si>
  <si>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</si>
  <si>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</si>
  <si>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</si>
  <si>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</si>
  <si>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</si>
  <si>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</si>
  <si>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</si>
  <si>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</si>
  <si>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</si>
  <si>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</si>
  <si>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</si>
  <si>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</si>
  <si>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</si>
  <si>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</si>
  <si>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</si>
  <si>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</si>
  <si>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</si>
  <si>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</si>
  <si>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</si>
  <si>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</si>
  <si>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</si>
  <si>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</si>
  <si>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</si>
  <si>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</si>
  <si>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NOME</t>
  </si>
  <si>
    <t>DATA</t>
  </si>
  <si>
    <t>TIPO</t>
  </si>
  <si>
    <t>VENDEDOR 1</t>
  </si>
  <si>
    <t>ENTRADA</t>
  </si>
  <si>
    <t>VENDEDOR 2</t>
  </si>
  <si>
    <t>FUNCIONÁRIO 3</t>
  </si>
  <si>
    <t>RETIRADA</t>
  </si>
  <si>
    <t>FUNCIONÁRIO 6</t>
  </si>
  <si>
    <t>FUNCIONÁRIO 9</t>
  </si>
  <si>
    <t>FUNCIONÁRIO 7</t>
  </si>
  <si>
    <t>FUNCIONÁRIO 8</t>
  </si>
  <si>
    <t>FUNCIONÁRIO 2</t>
  </si>
  <si>
    <t>FUNCIONÁRIO 1</t>
  </si>
  <si>
    <t>FUNCIONÁRIO 5</t>
  </si>
  <si>
    <t>FUNCIONÁRIO 4</t>
  </si>
  <si>
    <t>CÓDIGO</t>
  </si>
  <si>
    <t>Foto</t>
  </si>
  <si>
    <t>XXXXXXXXX1</t>
  </si>
  <si>
    <t>LÂMPADA 1</t>
  </si>
  <si>
    <t>https://images.tcdn.com.br/img/img_prod/791419/acessrio_base_para_projetor_flat_16w_e_25w_inter_1_20250919165125_5a343637d457.png</t>
  </si>
  <si>
    <t>XXXXXXXXX2</t>
  </si>
  <si>
    <t>LÂMPADA 2</t>
  </si>
  <si>
    <t>XXXXXXXXX3</t>
  </si>
  <si>
    <t>LÂMPADA 3</t>
  </si>
  <si>
    <t>XXXXXXXXX4</t>
  </si>
  <si>
    <t>LÂMPADA 4</t>
  </si>
  <si>
    <t>XXXXXXXXX5</t>
  </si>
  <si>
    <t>LÂMPADA 5</t>
  </si>
  <si>
    <t>XXXXXXXXX6</t>
  </si>
  <si>
    <t>LÂMPADA 6</t>
  </si>
  <si>
    <t>XXXXXXXXX7</t>
  </si>
  <si>
    <t>LÂMPADA 7</t>
  </si>
  <si>
    <t>XXXXXXXXX8</t>
  </si>
  <si>
    <t>LÂMPADA 8</t>
  </si>
  <si>
    <t>XXXXXXXXX9</t>
  </si>
  <si>
    <t>LÂMPADA 9</t>
  </si>
  <si>
    <t>XXXXXXXXX10</t>
  </si>
  <si>
    <t>LÂMPADA 10</t>
  </si>
  <si>
    <t>TOTAL DE LÂMPADAS QUEIMADAS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</si>
</sst>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\ &quot;Pct&quot;"/>
    <numFmt numFmtId="165" formatCode="0\ &quot;U&quot;"/>
    <numFmt numFmtId="166" formatCode="0\ &quot;Cx&quot;"/>
    <numFmt numFmtId="167" formatCode="@* "/>
    <numFmt numFmtId="168" formatCode="@*_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25"/>
      <color rgb="FFFF0000"/>
      <name val="Calibri"/>
      <family val="2"/>
      <scheme val="minor"/>
    </font>
    <font>
      <sz val="11"/>
      <color rgb="FFFFFF99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4" tint="0.79998168889431442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0" xfId="0" applyFont="1" applyFill="1"/>
    <xf numFmtId="167" fontId="6" fillId="2" borderId="0" xfId="0" applyNumberFormat="1" applyFont="1" applyFill="1" applyAlignment="1">
      <alignment horizontal="centerContinuous"/>
    </xf>
    <xf numFmtId="168" fontId="0" fillId="2" borderId="0" xfId="0" applyNumberFormat="1" applyFill="1" applyAlignment="1">
      <alignment horizontal="centerContinuous"/>
    </xf>
    <xf numFmtId="0" fontId="3" fillId="5" borderId="7" xfId="0" applyFon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Continuous"/>
    </xf>
    <xf numFmtId="0" fontId="7" fillId="2" borderId="0" xfId="0" applyFont="1" applyFill="1" applyAlignment="1">
      <alignment horizontal="centerContinuous"/>
    </xf>
    <xf numFmtId="14" fontId="0" fillId="0" borderId="7" xfId="0" applyNumberFormat="1" applyBorder="1" applyAlignment="1">
      <alignment horizontal="center" vertical="center"/>
    </xf>
    <xf numFmtId="0" fontId="3" fillId="5" borderId="7" xfId="0" applyFont="1" applyFill="1" applyBorder="1" applyAlignment="1">
      <alignment horizontal="centerContinuous"/>
    </xf>
    <xf numFmtId="0" fontId="0" fillId="5" borderId="6" xfId="0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0" borderId="7" xfId="0" applyFont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14" fontId="9" fillId="6" borderId="7" xfId="0" applyNumberFormat="1" applyFont="1" applyFill="1" applyBorder="1" applyAlignment="1">
      <alignment horizontal="center" vertical="center"/>
    </xf>
    <xf numFmtId="164" fontId="9" fillId="6" borderId="7" xfId="0" applyNumberFormat="1" applyFont="1" applyFill="1" applyBorder="1" applyAlignment="1">
      <alignment horizontal="center" vertical="center"/>
    </xf>
    <xf numFmtId="165" fontId="9" fillId="6" borderId="7" xfId="0" applyNumberFormat="1" applyFont="1" applyFill="1" applyBorder="1" applyAlignment="1">
      <alignment horizontal="center" vertical="center"/>
    </xf>
    <xf numFmtId="166" fontId="9" fillId="6" borderId="7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3" fillId="7" borderId="0" xfId="0" applyFont="1" applyFill="1"/>
    <xf numFmtId="0" fontId="0" fillId="9" borderId="7" xfId="0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9" borderId="6" xfId="0" applyFill="1" applyBorder="1" applyAlignment="1">
      <alignment horizontal="left" vertical="center"/>
    </xf>
    <xf numFmtId="0" fontId="0" fillId="9" borderId="7" xfId="0" applyFill="1" applyBorder="1" applyAlignment="1">
      <alignment horizontal="left" vertical="center"/>
    </xf>
    <xf numFmtId="0" fontId="11" fillId="0" borderId="9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167" fontId="6" fillId="7" borderId="0" xfId="0" applyNumberFormat="1" applyFont="1" applyFill="1" applyAlignment="1">
      <alignment horizontal="centerContinuous"/>
    </xf>
    <xf numFmtId="0" fontId="6" fillId="7" borderId="0" xfId="0" applyFont="1" applyFill="1" applyAlignment="1">
      <alignment horizontal="centerContinuous"/>
    </xf>
    <xf numFmtId="0" fontId="3" fillId="7" borderId="0" xfId="0" applyFont="1" applyFill="1" applyAlignment="1">
      <alignment horizontal="centerContinuous"/>
    </xf>
    <xf numFmtId="0" fontId="3" fillId="5" borderId="9" xfId="0" applyFont="1" applyFill="1" applyBorder="1" applyAlignment="1">
      <alignment horizontal="centerContinuous" vertical="center"/>
    </xf>
    <xf numFmtId="0" fontId="3" fillId="5" borderId="3" xfId="0" applyFont="1" applyFill="1" applyBorder="1" applyAlignment="1">
      <alignment horizontal="centerContinuous" vertical="center"/>
    </xf>
    <xf numFmtId="0" fontId="3" fillId="5" borderId="1" xfId="0" applyFont="1" applyFill="1" applyBorder="1" applyAlignment="1">
      <alignment horizontal="centerContinuous" vertical="center"/>
    </xf>
    <xf numFmtId="0" fontId="3" fillId="7" borderId="0" xfId="0" applyFont="1" applyFill="1" applyAlignment="1">
      <alignment horizontal="centerContinuous" vertical="center"/>
    </xf>
    <xf numFmtId="0" fontId="0" fillId="7" borderId="0" xfId="0" applyFill="1" applyAlignment="1">
      <alignment horizontal="center" vertical="center"/>
    </xf>
    <xf numFmtId="167" fontId="7" fillId="7" borderId="0" xfId="0" applyNumberFormat="1" applyFont="1" applyFill="1" applyAlignment="1">
      <alignment horizontal="centerContinuous"/>
    </xf>
    <xf numFmtId="0" fontId="7" fillId="7" borderId="0" xfId="0" applyFont="1" applyFill="1" applyAlignment="1">
      <alignment horizontal="centerContinuous"/>
    </xf>
    <xf numFmtId="0" fontId="3" fillId="5" borderId="2" xfId="0" applyFont="1" applyFill="1" applyBorder="1" applyAlignment="1">
      <alignment horizontal="centerContinuous" vertical="center"/>
    </xf>
    <xf numFmtId="0" fontId="3" fillId="5" borderId="15" xfId="0" applyFont="1" applyFill="1" applyBorder="1" applyAlignment="1">
      <alignment horizontal="centerContinuous" vertical="center"/>
    </xf>
    <xf numFmtId="0" fontId="3" fillId="5" borderId="6" xfId="0" applyFont="1" applyFill="1" applyBorder="1" applyAlignment="1">
      <alignment horizontal="centerContinuous" vertical="center"/>
    </xf>
    <xf numFmtId="14" fontId="0" fillId="0" borderId="6" xfId="0" applyNumberFormat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5" borderId="6" xfId="0" applyFont="1" applyFill="1" applyBorder="1" applyAlignment="1">
      <alignment horizontal="centerContinuous"/>
    </xf>
    <xf numFmtId="0" fontId="0" fillId="7" borderId="0" xfId="0" applyFill="1" applyAlignment="1">
      <alignment horizontal="centerContinuous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7" borderId="0" xfId="0" applyFont="1" applyFill="1"/>
    <xf numFmtId="14" fontId="3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6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Continuous" vertical="center"/>
    </xf>
    <xf numFmtId="0" fontId="3" fillId="12" borderId="15" xfId="0" applyFont="1" applyFill="1" applyBorder="1" applyAlignment="1">
      <alignment horizontal="centerContinuous" vertical="center"/>
    </xf>
    <xf numFmtId="0" fontId="3" fillId="12" borderId="6" xfId="0" applyFont="1" applyFill="1" applyBorder="1" applyAlignment="1">
      <alignment horizontal="centerContinuous" vertical="center"/>
    </xf>
    <xf numFmtId="0" fontId="3" fillId="12" borderId="13" xfId="0" applyFont="1" applyFill="1" applyBorder="1" applyAlignment="1">
      <alignment horizontal="centerContinuous" vertical="center"/>
    </xf>
    <xf numFmtId="0" fontId="3" fillId="12" borderId="5" xfId="0" applyFont="1" applyFill="1" applyBorder="1" applyAlignment="1">
      <alignment horizontal="centerContinuous" vertical="center"/>
    </xf>
    <xf numFmtId="0" fontId="3" fillId="12" borderId="12" xfId="0" applyFont="1" applyFill="1" applyBorder="1" applyAlignment="1">
      <alignment horizontal="centerContinuous" vertical="center"/>
    </xf>
    <xf numFmtId="0" fontId="3" fillId="12" borderId="7" xfId="0" applyFont="1" applyFill="1" applyBorder="1" applyAlignment="1">
      <alignment horizontal="centerContinuous"/>
    </xf>
    <xf numFmtId="0" fontId="0" fillId="12" borderId="7" xfId="0" applyFill="1" applyBorder="1" applyAlignment="1">
      <alignment horizontal="centerContinuous"/>
    </xf>
    <xf numFmtId="0" fontId="0" fillId="2" borderId="0" xfId="0" quotePrefix="1" applyFill="1" applyAlignment="1">
      <alignment horizontal="center" vertical="center"/>
    </xf>
  </cellXfs>
  <cellStyles count="1">
    <cellStyle name="Normal" xfId="0" builtinId="0"/>
  </cellStyles>
  <dxfs count="134"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z val="25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fgColor rgb="FF92D050"/>
          <bgColor rgb="FF92D050"/>
        </patternFill>
      </fill>
    </dxf>
    <dxf>
      <fill>
        <patternFill patternType="solid">
          <fgColor theme="9" tint="0.59999389629810485"/>
          <bgColor theme="9" tint="0.599993896298104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9" tint="0.59999389629810485"/>
          <bgColor theme="9" tint="0.599993896298104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medium">
          <color theme="9"/>
        </top>
      </border>
    </dxf>
    <dxf>
      <font>
        <b/>
        <color theme="1"/>
      </font>
    </dxf>
    <dxf>
      <font>
        <color theme="1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theme="5" tint="0.59999389629810485"/>
          <bgColor theme="5" tint="0.599993896298104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b/>
        <color theme="0"/>
      </font>
      <fill>
        <patternFill patternType="solid">
          <fgColor theme="5"/>
          <bgColor theme="5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ill>
        <patternFill patternType="solid">
          <fgColor theme="9" tint="0.59999389629810485"/>
          <bgColor theme="7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9" tint="0.59999389629810485"/>
          <bgColor theme="7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medium">
          <color theme="9"/>
        </top>
      </border>
    </dxf>
    <dxf>
      <font>
        <b/>
        <color theme="1"/>
      </font>
    </dxf>
    <dxf>
      <font>
        <color theme="1"/>
      </font>
      <fill>
        <patternFill patternType="solid">
          <fgColor theme="9" tint="0.79995117038483843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Medium9">
    <tableStyle name="LâmpadasQueimadas" pivot="0" count="7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firstRowStripe" dxfId="128"/>
      <tableStyleElement type="firstColumnStripe" dxfId="127"/>
    </tableStyle>
    <tableStyle name="TableStyleLight1 2" pivot="0" count="8">
      <tableStyleElement type="wholeTable" dxfId="126"/>
      <tableStyleElement type="headerRow" dxfId="125"/>
      <tableStyleElement type="totalRow" dxfId="124"/>
      <tableStyleElement type="firstColumn" dxfId="123"/>
      <tableStyleElement type="lastColumn" dxfId="122"/>
      <tableStyleElement type="firstRowStripe" dxfId="121"/>
      <tableStyleElement type="secondRowStripe" dxfId="120"/>
      <tableStyleElement type="firstColumnStripe" dxfId="119"/>
    </tableStyle>
    <tableStyle name="TableStyleMedium10 2 4" pivot="0" count="7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TableStyleMedium11 2" pivot="0" count="2">
      <tableStyleElement type="firstRowStripe" dxfId="111"/>
      <tableStyleElement type="secondRowStripe" dxfId="110"/>
    </tableStyle>
    <tableStyle name="TableStyleMedium28 2" pivot="0" count="7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</tableStyles>
  <colors>
    <mruColors>
      <color rgb="FF99CC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stoqueExtra!A1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4" Type="http://schemas.openxmlformats.org/officeDocument/2006/relationships/hyperlink" Target="#EstoqueLampad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gistroLampada!A1"/><Relationship Id="rId2" Type="http://schemas.openxmlformats.org/officeDocument/2006/relationships/image" Target="../media/image1.png"/><Relationship Id="rId1" Type="http://schemas.openxmlformats.org/officeDocument/2006/relationships/hyperlink" Target="#Estoqu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gistroLampada!A1"/><Relationship Id="rId2" Type="http://schemas.openxmlformats.org/officeDocument/2006/relationships/image" Target="../media/image1.png"/><Relationship Id="rId1" Type="http://schemas.openxmlformats.org/officeDocument/2006/relationships/hyperlink" Target="#Estoqu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gistro!A1"/><Relationship Id="rId2" Type="http://schemas.openxmlformats.org/officeDocument/2006/relationships/image" Target="../media/image1.png"/><Relationship Id="rId1" Type="http://schemas.openxmlformats.org/officeDocument/2006/relationships/hyperlink" Target="#EstoqueLampa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644769</xdr:colOff>
      <xdr:row>42</xdr:row>
      <xdr:rowOff>0</xdr:rowOff>
    </xdr:from>
    <xdr:to>
      <xdr:col>8</xdr:col>
      <xdr:colOff>7326</xdr:colOff>
      <xdr:row>43</xdr:row>
      <xdr:rowOff>0</xdr:rowOff>
    </xdr:to>
    <xdr:sp macro="[1]!ESTOQUE_P_RETIRADA" textlink="">
      <xdr:nvSpPr>
        <xdr:cNvPr id="7" name="Retângulo 6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6150219" y="8001000"/>
          <a:ext cx="2943957" cy="1905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644769</xdr:colOff>
      <xdr:row>42</xdr:row>
      <xdr:rowOff>0</xdr:rowOff>
    </xdr:from>
    <xdr:to>
      <xdr:col>14</xdr:col>
      <xdr:colOff>7326</xdr:colOff>
      <xdr:row>43</xdr:row>
      <xdr:rowOff>0</xdr:rowOff>
    </xdr:to>
    <xdr:sp macro="[1]!ESTOQUE_P_ENTRADA" textlink="">
      <xdr:nvSpPr>
        <xdr:cNvPr id="8" name="Retângulo 7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22219" y="8001000"/>
          <a:ext cx="2943957" cy="19050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1333651</xdr:colOff>
      <xdr:row>45</xdr:row>
      <xdr:rowOff>21098</xdr:rowOff>
    </xdr:from>
    <xdr:to>
      <xdr:col>6</xdr:col>
      <xdr:colOff>1687233</xdr:colOff>
      <xdr:row>46</xdr:row>
      <xdr:rowOff>183025</xdr:rowOff>
    </xdr:to>
    <xdr:pic>
      <xdr:nvPicPr>
        <xdr:cNvPr id="9" name="Imagem 8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7487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23290</xdr:colOff>
      <xdr:row>0</xdr:row>
      <xdr:rowOff>21593</xdr:rowOff>
    </xdr:from>
    <xdr:to>
      <xdr:col>0</xdr:col>
      <xdr:colOff>188189</xdr:colOff>
      <xdr:row>1</xdr:row>
      <xdr:rowOff>912</xdr:rowOff>
    </xdr:to>
    <xdr:pic>
      <xdr:nvPicPr>
        <xdr:cNvPr id="10" name="Imagem 9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3290" y="21593"/>
          <a:ext cx="164899" cy="169819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1333651</xdr:colOff>
      <xdr:row>45</xdr:row>
      <xdr:rowOff>21098</xdr:rowOff>
    </xdr:from>
    <xdr:ext cx="353582" cy="352427"/>
    <xdr:pic>
      <xdr:nvPicPr>
        <xdr:cNvPr id="11" name="Imagem 10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059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644769</xdr:colOff>
      <xdr:row>42</xdr:row>
      <xdr:rowOff>0</xdr:rowOff>
    </xdr:from>
    <xdr:to>
      <xdr:col>8</xdr:col>
      <xdr:colOff>7326</xdr:colOff>
      <xdr:row>43</xdr:row>
      <xdr:rowOff>0</xdr:rowOff>
    </xdr:to>
    <xdr:sp macro="[1]!ESTOQUE_P_RETIRADA" textlink="">
      <xdr:nvSpPr>
        <xdr:cNvPr id="12" name="Retângulo 11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6150219" y="8001000"/>
          <a:ext cx="2943957" cy="1905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644769</xdr:colOff>
      <xdr:row>42</xdr:row>
      <xdr:rowOff>0</xdr:rowOff>
    </xdr:from>
    <xdr:to>
      <xdr:col>14</xdr:col>
      <xdr:colOff>7326</xdr:colOff>
      <xdr:row>43</xdr:row>
      <xdr:rowOff>0</xdr:rowOff>
    </xdr:to>
    <xdr:sp macro="[1]!ESTOQUE_P_ENTRADA" textlink="">
      <xdr:nvSpPr>
        <xdr:cNvPr id="13" name="Retângulo 12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22219" y="8001000"/>
          <a:ext cx="2943957" cy="19050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1333651</xdr:colOff>
      <xdr:row>45</xdr:row>
      <xdr:rowOff>21098</xdr:rowOff>
    </xdr:from>
    <xdr:to>
      <xdr:col>6</xdr:col>
      <xdr:colOff>1687233</xdr:colOff>
      <xdr:row>46</xdr:row>
      <xdr:rowOff>183025</xdr:rowOff>
    </xdr:to>
    <xdr:pic>
      <xdr:nvPicPr>
        <xdr:cNvPr id="14" name="Imagem 13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7487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23290</xdr:colOff>
      <xdr:row>0</xdr:row>
      <xdr:rowOff>21593</xdr:rowOff>
    </xdr:from>
    <xdr:to>
      <xdr:col>0</xdr:col>
      <xdr:colOff>188189</xdr:colOff>
      <xdr:row>1</xdr:row>
      <xdr:rowOff>912</xdr:rowOff>
    </xdr:to>
    <xdr:pic>
      <xdr:nvPicPr>
        <xdr:cNvPr id="15" name="Imagem 14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3290" y="21593"/>
          <a:ext cx="164899" cy="169819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1333651</xdr:colOff>
      <xdr:row>45</xdr:row>
      <xdr:rowOff>21098</xdr:rowOff>
    </xdr:from>
    <xdr:ext cx="353582" cy="352427"/>
    <xdr:pic>
      <xdr:nvPicPr>
        <xdr:cNvPr id="16" name="Imagem 15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059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644769</xdr:colOff>
      <xdr:row>42</xdr:row>
      <xdr:rowOff>0</xdr:rowOff>
    </xdr:from>
    <xdr:to>
      <xdr:col>8</xdr:col>
      <xdr:colOff>7326</xdr:colOff>
      <xdr:row>43</xdr:row>
      <xdr:rowOff>0</xdr:rowOff>
    </xdr:to>
    <xdr:sp macro="[0]!ESTOQUE_P_RETIRADA" textlink="">
      <xdr:nvSpPr>
        <xdr:cNvPr id="17" name="Retângulo 1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6150219" y="8001000"/>
          <a:ext cx="2943957" cy="1905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644769</xdr:colOff>
      <xdr:row>42</xdr:row>
      <xdr:rowOff>0</xdr:rowOff>
    </xdr:from>
    <xdr:to>
      <xdr:col>14</xdr:col>
      <xdr:colOff>7326</xdr:colOff>
      <xdr:row>43</xdr:row>
      <xdr:rowOff>0</xdr:rowOff>
    </xdr:to>
    <xdr:sp macro="[0]!ESTOQUE_P_ENTRADA" textlink="">
      <xdr:nvSpPr>
        <xdr:cNvPr id="18" name="Retângulo 1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0722219" y="8001000"/>
          <a:ext cx="2943957" cy="1905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1333651</xdr:colOff>
      <xdr:row>45</xdr:row>
      <xdr:rowOff>21098</xdr:rowOff>
    </xdr:from>
    <xdr:to>
      <xdr:col>6</xdr:col>
      <xdr:colOff>1687233</xdr:colOff>
      <xdr:row>46</xdr:row>
      <xdr:rowOff>183025</xdr:rowOff>
    </xdr:to>
    <xdr:pic>
      <xdr:nvPicPr>
        <xdr:cNvPr id="19" name="Imagem 18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7487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23290</xdr:colOff>
      <xdr:row>0</xdr:row>
      <xdr:rowOff>21593</xdr:rowOff>
    </xdr:from>
    <xdr:to>
      <xdr:col>0</xdr:col>
      <xdr:colOff>188189</xdr:colOff>
      <xdr:row>1</xdr:row>
      <xdr:rowOff>912</xdr:rowOff>
    </xdr:to>
    <xdr:pic>
      <xdr:nvPicPr>
        <xdr:cNvPr id="20" name="Imagem 19" descr="Botão voltar - ícones de setas grátis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3290" y="21593"/>
          <a:ext cx="164899" cy="169819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1333651</xdr:colOff>
      <xdr:row>45</xdr:row>
      <xdr:rowOff>21098</xdr:rowOff>
    </xdr:from>
    <xdr:ext cx="353582" cy="352427"/>
    <xdr:pic>
      <xdr:nvPicPr>
        <xdr:cNvPr id="21" name="Imagem 20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059378" y="8593021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10849</xdr:colOff>
      <xdr:row>1</xdr:row>
      <xdr:rowOff>1058</xdr:rowOff>
    </xdr:from>
    <xdr:to>
      <xdr:col>0</xdr:col>
      <xdr:colOff>195396</xdr:colOff>
      <xdr:row>1</xdr:row>
      <xdr:rowOff>183490</xdr:rowOff>
    </xdr:to>
    <xdr:pic>
      <xdr:nvPicPr>
        <xdr:cNvPr id="7" name="Imagem 6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907" y="95250"/>
          <a:ext cx="182432" cy="1845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11905</xdr:colOff>
      <xdr:row>3</xdr:row>
      <xdr:rowOff>12979</xdr:rowOff>
    </xdr:from>
    <xdr:to>
      <xdr:col>0</xdr:col>
      <xdr:colOff>196452</xdr:colOff>
      <xdr:row>4</xdr:row>
      <xdr:rowOff>0</xdr:rowOff>
    </xdr:to>
    <xdr:pic>
      <xdr:nvPicPr>
        <xdr:cNvPr id="8" name="Imagem 7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5418" y="485716"/>
          <a:ext cx="177521" cy="184547"/>
        </a:xfrm>
        <a:prstGeom prst="rect">
          <a:avLst/>
        </a:prstGeom>
        <a:noFill/>
        <a:scene3d>
          <a:camera prst="orthographicFront">
            <a:rot lat="0" lon="0" rev="1620000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644769</xdr:colOff>
      <xdr:row>18</xdr:row>
      <xdr:rowOff>0</xdr:rowOff>
    </xdr:from>
    <xdr:to>
      <xdr:col>12</xdr:col>
      <xdr:colOff>7326</xdr:colOff>
      <xdr:row>19</xdr:row>
      <xdr:rowOff>0</xdr:rowOff>
    </xdr:to>
    <xdr:sp macro="[0]!ESTOQUE_L_RETIRADA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8502894" y="6791325"/>
          <a:ext cx="5525232" cy="1905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644769</xdr:colOff>
      <xdr:row>18</xdr:row>
      <xdr:rowOff>0</xdr:rowOff>
    </xdr:from>
    <xdr:to>
      <xdr:col>20</xdr:col>
      <xdr:colOff>7326</xdr:colOff>
      <xdr:row>19</xdr:row>
      <xdr:rowOff>0</xdr:rowOff>
    </xdr:to>
    <xdr:sp macro="[0]!ESTOQUE_L_ENTRADA" textlink="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6608669" y="6791325"/>
          <a:ext cx="5525232" cy="1905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23290</xdr:colOff>
      <xdr:row>0</xdr:row>
      <xdr:rowOff>21593</xdr:rowOff>
    </xdr:from>
    <xdr:to>
      <xdr:col>0</xdr:col>
      <xdr:colOff>188189</xdr:colOff>
      <xdr:row>0</xdr:row>
      <xdr:rowOff>187033</xdr:rowOff>
    </xdr:to>
    <xdr:pic>
      <xdr:nvPicPr>
        <xdr:cNvPr id="4" name="Imagem 3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3290" y="21593"/>
          <a:ext cx="164899" cy="165440"/>
        </a:xfrm>
        <a:prstGeom prst="rect">
          <a:avLst/>
        </a:prstGeom>
        <a:noFill/>
        <a:scene3d>
          <a:camera prst="orthographicFront">
            <a:rot lat="0" lon="0" rev="1080000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402985</xdr:colOff>
      <xdr:row>21</xdr:row>
      <xdr:rowOff>0</xdr:rowOff>
    </xdr:from>
    <xdr:ext cx="353582" cy="352427"/>
    <xdr:pic>
      <xdr:nvPicPr>
        <xdr:cNvPr id="5" name="Imagem 4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185862" y="7362248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402985</xdr:colOff>
      <xdr:row>21</xdr:row>
      <xdr:rowOff>0</xdr:rowOff>
    </xdr:from>
    <xdr:ext cx="353582" cy="352427"/>
    <xdr:pic>
      <xdr:nvPicPr>
        <xdr:cNvPr id="6" name="Imagem 5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9291637" y="7362248"/>
          <a:ext cx="352427" cy="353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10848</xdr:colOff>
      <xdr:row>1</xdr:row>
      <xdr:rowOff>7009</xdr:rowOff>
    </xdr:from>
    <xdr:to>
      <xdr:col>1</xdr:col>
      <xdr:colOff>955</xdr:colOff>
      <xdr:row>2</xdr:row>
      <xdr:rowOff>2289</xdr:rowOff>
    </xdr:to>
    <xdr:pic>
      <xdr:nvPicPr>
        <xdr:cNvPr id="2" name="Imagem 1" descr="Botão voltar - ícones de setas grát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925" y="101182"/>
          <a:ext cx="185780" cy="187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11905</xdr:colOff>
      <xdr:row>3</xdr:row>
      <xdr:rowOff>12979</xdr:rowOff>
    </xdr:from>
    <xdr:to>
      <xdr:col>0</xdr:col>
      <xdr:colOff>196452</xdr:colOff>
      <xdr:row>4</xdr:row>
      <xdr:rowOff>4911</xdr:rowOff>
    </xdr:to>
    <xdr:pic>
      <xdr:nvPicPr>
        <xdr:cNvPr id="3" name="Imagem 2" descr="Botão voltar - ícones de setas grátis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2963" y="488171"/>
          <a:ext cx="182432" cy="184547"/>
        </a:xfrm>
        <a:prstGeom prst="rect">
          <a:avLst/>
        </a:prstGeom>
        <a:noFill/>
        <a:scene3d>
          <a:camera prst="orthographicFront">
            <a:rot lat="0" lon="0" rev="5400000"/>
          </a:camera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BVBH01\CDInfoPBoaViagem\AUXILIARBV\CONTROLE_ALMOXARIF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oque"/>
      <sheetName val="Registro"/>
      <sheetName val="EstoqueExtra"/>
      <sheetName val="RegistroExtra"/>
      <sheetName val="EstoqueLampada"/>
      <sheetName val="RegistroLampada"/>
      <sheetName val="CONTROLE_ALMOXARIFADO"/>
    </sheetNames>
    <definedNames>
      <definedName name="ESTOQUE_P_ENTRADA"/>
      <definedName name="ESTOQUE_P_RETIRADA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id="13" name="Tabela112" displayName="Tabela112" ref="G2:H37" headerRowCount="0" totalsRowShown="0" tableBorderDxfId="94">
  <tableColumns count="2">
    <tableColumn id="1" name="Colunas1" headerRowDxfId="93" dataDxfId="92"/>
    <tableColumn id="2" name="Colunas2" headerRowDxfId="91" dataDxfId="90"/>
  </tableColumns>
  <tableStyleInfo name="TableStyleMedium10 2 4" showFirstColumn="0" showLastColumn="0" showRowStripes="1" showColumnStripes="0"/>
</table>
</file>

<file path=xl/tables/table2.xml><?xml version="1.0" encoding="utf-8"?>
<table xmlns="http://schemas.openxmlformats.org/spreadsheetml/2006/main" id="14" name="Tabela1124" displayName="Tabela1124" ref="M2:N37" headerRowCount="0" totalsRowShown="0" tableBorderDxfId="89">
  <tableColumns count="2">
    <tableColumn id="1" name="Colunas1" headerRowDxfId="88" dataDxfId="87"/>
    <tableColumn id="2" name="Colunas2" headerRowDxfId="86" dataDxfId="85"/>
  </tableColumns>
  <tableStyleInfo name="TableStyleMedium11 2" showFirstColumn="0" showLastColumn="0" showRowStripes="1" showColumnStripes="0"/>
</table>
</file>

<file path=xl/tables/table3.xml><?xml version="1.0" encoding="utf-8"?>
<table xmlns="http://schemas.openxmlformats.org/spreadsheetml/2006/main" id="15" name="Tabela11" displayName="Tabela11" ref="B2:D37" headerRowCount="0" totalsRowShown="0" tableBorderDxfId="84">
  <tableColumns count="3">
    <tableColumn id="1" name="Colunas1" headerRowDxfId="83" dataDxfId="82"/>
    <tableColumn id="2" name="Colunas2" headerRowDxfId="81" dataDxfId="80"/>
    <tableColumn id="3" name="Colunas3" headerRowDxfId="79" dataDxfId="7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6" name="Tabela117" displayName="Tabela117" ref="B2:F13" headerRowCount="0" totalsRowShown="0" headerRowDxfId="57" dataDxfId="56" tableBorderDxfId="55">
  <tableColumns count="5">
    <tableColumn id="1" name="Colunas1" headerRowDxfId="54" dataDxfId="53"/>
    <tableColumn id="5" name="Colunas5" headerRowDxfId="52" dataDxfId="51"/>
    <tableColumn id="4" name="Colunas4" headerRowDxfId="50" dataDxfId="49"/>
    <tableColumn id="2" name="Colunas2" headerRowDxfId="48" dataDxfId="47"/>
    <tableColumn id="3" name="Colunas3" headerRowDxfId="46" dataDxfId="45"/>
  </tableColumns>
  <tableStyleInfo name="TableStyleLight1 2" showFirstColumn="0" showLastColumn="0" showRowStripes="1" showColumnStripes="0"/>
</table>
</file>

<file path=xl/tables/table5.xml><?xml version="1.0" encoding="utf-8"?>
<table xmlns="http://schemas.openxmlformats.org/spreadsheetml/2006/main" id="17" name="Tabela1128" displayName="Tabela1128" ref="I2:L13" headerRowCount="0" totalsRowShown="0" headerRowDxfId="44" dataDxfId="43" tableBorderDxfId="42">
  <tableColumns count="4">
    <tableColumn id="1" name="Colunas1" headerRowDxfId="41" dataDxfId="40"/>
    <tableColumn id="4" name="Colunas4" headerRowDxfId="39" dataDxfId="38"/>
    <tableColumn id="3" name="Colunas3" headerRowDxfId="37" dataDxfId="36"/>
    <tableColumn id="2" name="Colunas2" headerRowDxfId="35" dataDxfId="34"/>
  </tableColumns>
  <tableStyleInfo name="TableStyleMedium10 2 4" showFirstColumn="0" showLastColumn="0" showRowStripes="1" showColumnStripes="0"/>
</table>
</file>

<file path=xl/tables/table6.xml><?xml version="1.0" encoding="utf-8"?>
<table xmlns="http://schemas.openxmlformats.org/spreadsheetml/2006/main" id="18" name="Tabela11249" displayName="Tabela11249" ref="Q2:T13" headerRowCount="0" totalsRowShown="0" headerRowDxfId="33" dataDxfId="32" tableBorderDxfId="31">
  <tableColumns count="4">
    <tableColumn id="1" name="Colunas1" headerRowDxfId="30" dataDxfId="29"/>
    <tableColumn id="4" name="Colunas4" headerRowDxfId="28" dataDxfId="27"/>
    <tableColumn id="3" name="Colunas3" headerRowDxfId="26" dataDxfId="25"/>
    <tableColumn id="2" name="Colunas2" headerRowDxfId="24" dataDxfId="23"/>
  </tableColumns>
  <tableStyleInfo name="TableStyleMedium11 2" showFirstColumn="0" showLastColumn="0" showRowStripes="1" showColumnStripes="0"/>
</table>
</file>

<file path=xl/tables/table7.xml><?xml version="1.0" encoding="utf-8"?>
<table xmlns="http://schemas.openxmlformats.org/spreadsheetml/2006/main" id="19" name="Tabela1124910" displayName="Tabela1124910" ref="W2:Z14" headerRowCount="0" totalsRowShown="0" headerRowDxfId="22" tableBorderDxfId="21" totalsRowBorderDxfId="20">
  <tableColumns count="4">
    <tableColumn id="1" name="Colunas1" headerRowDxfId="19" dataDxfId="18"/>
    <tableColumn id="4" name="Colunas4" headerRowDxfId="17" dataDxfId="16"/>
    <tableColumn id="3" name="Colunas3" headerRowDxfId="15" dataDxfId="14"/>
    <tableColumn id="2" name="Colunas2" headerRowDxfId="13" dataDxfId="12"/>
  </tableColumns>
  <tableStyleInfo name="LâmpadasQueimada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9CCFF"/>
  </sheetPr>
  <dimension ref="A1:Z83"/>
  <sheetViews>
    <sheetView showRowColHeaders="0" tabSelected="1" zoomScale="130" zoomScaleNormal="130" workbookViewId="0">
      <selection activeCell="D7" sqref="D7"/>
    </sheetView>
  </sheetViews>
  <sheetFormatPr defaultColWidth="9.7109375" defaultRowHeight="15" x14ac:dyDescent="0.25"/>
  <cols>
    <col min="1" max="1" width="9.7109375" customWidth="1"/>
    <col min="2" max="2" width="32.140625" bestFit="1" customWidth="1"/>
    <col min="3" max="3" width="13.5703125" style="33" bestFit="1" customWidth="1"/>
    <col min="4" max="5" width="13.5703125" style="33" customWidth="1"/>
    <col min="6" max="6" width="9.7109375" customWidth="1"/>
    <col min="7" max="7" width="32.140625" bestFit="1" customWidth="1"/>
    <col min="8" max="8" width="11.85546875" bestFit="1" customWidth="1"/>
    <col min="9" max="12" width="6.140625" customWidth="1"/>
    <col min="13" max="13" width="32.140625" bestFit="1" customWidth="1"/>
    <col min="14" max="14" width="11.85546875" bestFit="1" customWidth="1"/>
  </cols>
  <sheetData>
    <row r="1" spans="1:26" x14ac:dyDescent="0.25">
      <c r="A1" s="1"/>
      <c r="B1" s="1"/>
      <c r="C1" s="2"/>
      <c r="D1" s="2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3" t="s">
        <v>0</v>
      </c>
      <c r="C2" s="3" t="s">
        <v>1</v>
      </c>
      <c r="D2" s="4" t="s">
        <v>2</v>
      </c>
      <c r="E2" s="2"/>
      <c r="F2" s="1"/>
      <c r="G2" s="5" t="s">
        <v>3</v>
      </c>
      <c r="H2" s="6" t="s">
        <v>1</v>
      </c>
      <c r="I2" s="1"/>
      <c r="J2" s="1"/>
      <c r="K2" s="1"/>
      <c r="L2" s="1"/>
      <c r="M2" s="98" t="s">
        <v>4</v>
      </c>
      <c r="N2" s="101" t="s">
        <v>1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7"/>
      <c r="C3" s="7"/>
      <c r="D3" s="97" t="s">
        <v>5</v>
      </c>
      <c r="E3" s="2"/>
      <c r="F3" s="1"/>
      <c r="G3" s="8"/>
      <c r="H3" s="8"/>
      <c r="I3" s="1"/>
      <c r="J3" s="1"/>
      <c r="K3" s="1"/>
      <c r="L3" s="1"/>
      <c r="M3" s="100"/>
      <c r="N3" s="100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9" t="s">
        <v>13</v>
      </c>
      <c r="C4" s="10">
        <v>4</v>
      </c>
      <c r="D4" s="11" t="str">
        <f>IF(C4&lt;=0,"X","")</f>
        <v/>
      </c>
      <c r="E4" s="2"/>
      <c r="F4" s="1"/>
      <c r="G4" s="9" t="s">
        <v>13</v>
      </c>
      <c r="H4" s="10"/>
      <c r="I4" s="1"/>
      <c r="J4" s="1"/>
      <c r="K4" s="1"/>
      <c r="L4" s="1"/>
      <c r="M4" s="9" t="s">
        <v>13</v>
      </c>
      <c r="N4" s="1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9" t="s">
        <v>14</v>
      </c>
      <c r="C5" s="12">
        <v>8</v>
      </c>
      <c r="D5" s="11" t="str">
        <f>IF(C5&lt;=4,"X","")</f>
        <v/>
      </c>
      <c r="E5" s="2"/>
      <c r="F5" s="1"/>
      <c r="G5" s="9" t="s">
        <v>14</v>
      </c>
      <c r="H5" s="12"/>
      <c r="I5" s="1"/>
      <c r="J5" s="1"/>
      <c r="K5" s="1"/>
      <c r="L5" s="1"/>
      <c r="M5" s="9" t="s">
        <v>14</v>
      </c>
      <c r="N5" s="12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9" t="s">
        <v>15</v>
      </c>
      <c r="C6" s="10">
        <v>5</v>
      </c>
      <c r="D6" s="11" t="str">
        <f>IF(C6&lt;=4,"X","")</f>
        <v/>
      </c>
      <c r="E6" s="2"/>
      <c r="F6" s="1"/>
      <c r="G6" s="9" t="s">
        <v>15</v>
      </c>
      <c r="H6" s="10"/>
      <c r="I6" s="1"/>
      <c r="J6" s="1"/>
      <c r="K6" s="1"/>
      <c r="L6" s="1"/>
      <c r="M6" s="9" t="s">
        <v>15</v>
      </c>
      <c r="N6" s="10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9" t="s">
        <v>16</v>
      </c>
      <c r="C7" s="10">
        <v>10</v>
      </c>
      <c r="D7" s="11" t="str">
        <f>IF(C7&lt;=3,"X","")</f>
        <v/>
      </c>
      <c r="E7" s="2"/>
      <c r="F7" s="1"/>
      <c r="G7" s="9" t="s">
        <v>16</v>
      </c>
      <c r="H7" s="10"/>
      <c r="I7" s="1"/>
      <c r="J7" s="1"/>
      <c r="K7" s="1"/>
      <c r="L7" s="1"/>
      <c r="M7" s="9" t="s">
        <v>16</v>
      </c>
      <c r="N7" s="10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 t="s">
        <v>6</v>
      </c>
      <c r="B8" s="9" t="s">
        <v>17</v>
      </c>
      <c r="C8" s="10">
        <v>43</v>
      </c>
      <c r="D8" s="11" t="str">
        <f>IF(C8&lt;=15,"X","")</f>
        <v/>
      </c>
      <c r="E8" s="2"/>
      <c r="F8" s="1"/>
      <c r="G8" s="9" t="s">
        <v>17</v>
      </c>
      <c r="H8" s="10"/>
      <c r="I8" s="1"/>
      <c r="J8" s="1"/>
      <c r="K8" s="1"/>
      <c r="L8" s="1"/>
      <c r="M8" s="9" t="s">
        <v>17</v>
      </c>
      <c r="N8" s="10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9" t="s">
        <v>18</v>
      </c>
      <c r="C9" s="10">
        <v>40</v>
      </c>
      <c r="D9" s="11" t="str">
        <f>IF(C9&lt;=2,"X","")</f>
        <v/>
      </c>
      <c r="E9" s="2"/>
      <c r="F9" s="1"/>
      <c r="G9" s="9" t="s">
        <v>18</v>
      </c>
      <c r="H9" s="10"/>
      <c r="I9" s="1"/>
      <c r="J9" s="1"/>
      <c r="K9" s="1"/>
      <c r="L9" s="1"/>
      <c r="M9" s="9" t="s">
        <v>18</v>
      </c>
      <c r="N9" s="10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9" t="s">
        <v>19</v>
      </c>
      <c r="C10" s="10">
        <v>2</v>
      </c>
      <c r="D10" s="11" t="str">
        <f>IF(C10&lt;=3,"X","")</f>
        <v>X</v>
      </c>
      <c r="E10" s="2"/>
      <c r="F10" s="1"/>
      <c r="G10" s="9" t="s">
        <v>19</v>
      </c>
      <c r="H10" s="10"/>
      <c r="I10" s="1"/>
      <c r="J10" s="1"/>
      <c r="K10" s="1"/>
      <c r="L10" s="1"/>
      <c r="M10" s="9" t="s">
        <v>19</v>
      </c>
      <c r="N10" s="1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9" t="s">
        <v>20</v>
      </c>
      <c r="C11" s="10">
        <v>5</v>
      </c>
      <c r="D11" s="11" t="str">
        <f>IF(C11&lt;=2,"X","")</f>
        <v/>
      </c>
      <c r="E11" s="2"/>
      <c r="F11" s="1"/>
      <c r="G11" s="9" t="s">
        <v>20</v>
      </c>
      <c r="H11" s="10"/>
      <c r="I11" s="1"/>
      <c r="J11" s="1"/>
      <c r="K11" s="1"/>
      <c r="L11" s="1"/>
      <c r="M11" s="9" t="s">
        <v>20</v>
      </c>
      <c r="N11" s="10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9" t="s">
        <v>21</v>
      </c>
      <c r="C12" s="10">
        <v>5</v>
      </c>
      <c r="D12" s="11" t="str">
        <f>IF(C12&lt;=2,"X","")</f>
        <v/>
      </c>
      <c r="E12" s="2"/>
      <c r="F12" s="1"/>
      <c r="G12" s="9" t="s">
        <v>21</v>
      </c>
      <c r="H12" s="10"/>
      <c r="I12" s="1"/>
      <c r="J12" s="1"/>
      <c r="K12" s="1"/>
      <c r="L12" s="1"/>
      <c r="M12" s="9" t="s">
        <v>21</v>
      </c>
      <c r="N12" s="10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9" t="s">
        <v>22</v>
      </c>
      <c r="C13" s="34">
        <v>5</v>
      </c>
      <c r="D13" s="11" t="str">
        <f>IF(C13&lt;=2,"X","")</f>
        <v/>
      </c>
      <c r="E13" s="2"/>
      <c r="F13" s="1"/>
      <c r="G13" s="9" t="s">
        <v>22</v>
      </c>
      <c r="H13" s="10"/>
      <c r="I13" s="1"/>
      <c r="J13" s="1"/>
      <c r="K13" s="1"/>
      <c r="L13" s="1"/>
      <c r="M13" s="9" t="s">
        <v>22</v>
      </c>
      <c r="N13" s="10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9" t="s">
        <v>23</v>
      </c>
      <c r="C14" s="10">
        <v>2</v>
      </c>
      <c r="D14" s="11" t="str">
        <f>IF(C14&lt;=2,"X","")</f>
        <v>X</v>
      </c>
      <c r="E14" s="2"/>
      <c r="F14" s="1"/>
      <c r="G14" s="9" t="s">
        <v>23</v>
      </c>
      <c r="H14" s="10"/>
      <c r="I14" s="1"/>
      <c r="J14" s="1"/>
      <c r="K14" s="1"/>
      <c r="L14" s="1"/>
      <c r="M14" s="9" t="s">
        <v>23</v>
      </c>
      <c r="N14" s="10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9" t="s">
        <v>24</v>
      </c>
      <c r="C15" s="10">
        <v>7</v>
      </c>
      <c r="D15" s="11" t="str">
        <f>IF(C15&lt;=2,"X","")</f>
        <v/>
      </c>
      <c r="E15" s="2"/>
      <c r="F15" s="1"/>
      <c r="G15" s="9" t="s">
        <v>24</v>
      </c>
      <c r="H15" s="10"/>
      <c r="I15" s="1"/>
      <c r="J15" s="1"/>
      <c r="K15" s="1"/>
      <c r="L15" s="1"/>
      <c r="M15" s="9" t="s">
        <v>24</v>
      </c>
      <c r="N15" s="10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9" t="s">
        <v>25</v>
      </c>
      <c r="C16" s="34">
        <v>8</v>
      </c>
      <c r="D16" s="13" t="str">
        <f>IF(C16&lt;0,"X","")</f>
        <v/>
      </c>
      <c r="E16" s="2"/>
      <c r="F16" s="1"/>
      <c r="G16" s="9" t="s">
        <v>25</v>
      </c>
      <c r="H16" s="10"/>
      <c r="I16" s="1"/>
      <c r="J16" s="1"/>
      <c r="K16" s="1"/>
      <c r="L16" s="1"/>
      <c r="M16" s="9" t="s">
        <v>25</v>
      </c>
      <c r="N16" s="10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9" t="s">
        <v>26</v>
      </c>
      <c r="C17" s="10">
        <v>11</v>
      </c>
      <c r="D17" s="11" t="str">
        <f>IF(C17&lt;=2,"X","")</f>
        <v/>
      </c>
      <c r="E17" s="2"/>
      <c r="F17" s="1"/>
      <c r="G17" s="9" t="s">
        <v>26</v>
      </c>
      <c r="H17" s="10"/>
      <c r="I17" s="1"/>
      <c r="J17" s="1"/>
      <c r="K17" s="1"/>
      <c r="L17" s="1"/>
      <c r="M17" s="9" t="s">
        <v>26</v>
      </c>
      <c r="N17" s="1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9" t="s">
        <v>27</v>
      </c>
      <c r="C18" s="10">
        <v>5</v>
      </c>
      <c r="D18" s="11" t="str">
        <f>IF(C18&lt;=1,"X","")</f>
        <v/>
      </c>
      <c r="E18" s="2"/>
      <c r="F18" s="1"/>
      <c r="G18" s="9" t="s">
        <v>27</v>
      </c>
      <c r="H18" s="10"/>
      <c r="I18" s="1"/>
      <c r="J18" s="1"/>
      <c r="K18" s="1"/>
      <c r="L18" s="1"/>
      <c r="M18" s="9" t="s">
        <v>27</v>
      </c>
      <c r="N18" s="1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9" t="s">
        <v>28</v>
      </c>
      <c r="C19" s="34">
        <v>0</v>
      </c>
      <c r="D19" s="11" t="str">
        <f>IF(C19&lt;=2,"X","")</f>
        <v>X</v>
      </c>
      <c r="E19" s="2"/>
      <c r="F19" s="1"/>
      <c r="G19" s="9" t="s">
        <v>28</v>
      </c>
      <c r="H19" s="10"/>
      <c r="I19" s="1"/>
      <c r="J19" s="1"/>
      <c r="K19" s="1"/>
      <c r="L19" s="1"/>
      <c r="M19" s="9" t="s">
        <v>28</v>
      </c>
      <c r="N19" s="1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9" t="s">
        <v>29</v>
      </c>
      <c r="C20" s="10">
        <v>14</v>
      </c>
      <c r="D20" s="11" t="str">
        <f>IF(C20&lt;=3,"X","")</f>
        <v/>
      </c>
      <c r="E20" s="2"/>
      <c r="F20" s="1"/>
      <c r="G20" s="9" t="s">
        <v>29</v>
      </c>
      <c r="H20" s="10"/>
      <c r="I20" s="1"/>
      <c r="J20" s="1"/>
      <c r="K20" s="1"/>
      <c r="L20" s="1"/>
      <c r="M20" s="9" t="s">
        <v>29</v>
      </c>
      <c r="N20" s="1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9" t="s">
        <v>30</v>
      </c>
      <c r="C21" s="10">
        <v>5</v>
      </c>
      <c r="D21" s="11" t="str">
        <f>IF(C21&lt;=3,"X","")</f>
        <v/>
      </c>
      <c r="E21" s="2"/>
      <c r="F21" s="1"/>
      <c r="G21" s="9" t="s">
        <v>30</v>
      </c>
      <c r="H21" s="10"/>
      <c r="I21" s="1"/>
      <c r="J21" s="1"/>
      <c r="K21" s="1"/>
      <c r="L21" s="1"/>
      <c r="M21" s="9" t="s">
        <v>30</v>
      </c>
      <c r="N21" s="1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9" t="s">
        <v>31</v>
      </c>
      <c r="C22" s="10">
        <v>6</v>
      </c>
      <c r="D22" s="11" t="str">
        <f>IF(C22&lt;=1,"X","")</f>
        <v/>
      </c>
      <c r="E22" s="2"/>
      <c r="F22" s="1"/>
      <c r="G22" s="9" t="s">
        <v>31</v>
      </c>
      <c r="H22" s="10"/>
      <c r="I22" s="1"/>
      <c r="J22" s="1"/>
      <c r="K22" s="1"/>
      <c r="L22" s="1"/>
      <c r="M22" s="9" t="s">
        <v>31</v>
      </c>
      <c r="N22" s="1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9" t="s">
        <v>32</v>
      </c>
      <c r="C23" s="10">
        <v>8</v>
      </c>
      <c r="D23" s="11" t="str">
        <f>IF(C23&lt;=2,"X","")</f>
        <v/>
      </c>
      <c r="E23" s="2"/>
      <c r="F23" s="1"/>
      <c r="G23" s="9" t="s">
        <v>32</v>
      </c>
      <c r="H23" s="10"/>
      <c r="I23" s="1"/>
      <c r="J23" s="1"/>
      <c r="K23" s="1"/>
      <c r="L23" s="1"/>
      <c r="M23" s="9" t="s">
        <v>32</v>
      </c>
      <c r="N23" s="1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9" t="s">
        <v>33</v>
      </c>
      <c r="C24" s="10">
        <v>0</v>
      </c>
      <c r="D24" s="11" t="str">
        <f>IF(C24&lt;=2,"X","")</f>
        <v>X</v>
      </c>
      <c r="E24" s="2"/>
      <c r="F24" s="1"/>
      <c r="G24" s="9" t="s">
        <v>33</v>
      </c>
      <c r="H24" s="10"/>
      <c r="I24" s="1"/>
      <c r="J24" s="1"/>
      <c r="K24" s="1"/>
      <c r="L24" s="1"/>
      <c r="M24" s="9" t="s">
        <v>33</v>
      </c>
      <c r="N24" s="1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9" t="s">
        <v>34</v>
      </c>
      <c r="C25" s="14">
        <v>45</v>
      </c>
      <c r="D25" s="11" t="str">
        <f>IF(C25&lt;=16,"X","")</f>
        <v/>
      </c>
      <c r="E25" s="2"/>
      <c r="F25" s="1"/>
      <c r="G25" s="9" t="s">
        <v>34</v>
      </c>
      <c r="H25" s="14"/>
      <c r="I25" s="1"/>
      <c r="J25" s="1"/>
      <c r="K25" s="1"/>
      <c r="L25" s="1"/>
      <c r="M25" s="9" t="s">
        <v>34</v>
      </c>
      <c r="N25" s="14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9" t="s">
        <v>35</v>
      </c>
      <c r="C26" s="15">
        <v>10</v>
      </c>
      <c r="D26" s="11" t="str">
        <f>IF(C26&lt;=4,"X","")</f>
        <v/>
      </c>
      <c r="E26" s="2"/>
      <c r="F26" s="1"/>
      <c r="G26" s="9" t="s">
        <v>35</v>
      </c>
      <c r="H26" s="15"/>
      <c r="I26" s="1"/>
      <c r="J26" s="1"/>
      <c r="K26" s="1"/>
      <c r="L26" s="1"/>
      <c r="M26" s="9" t="s">
        <v>35</v>
      </c>
      <c r="N26" s="15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9" t="s">
        <v>36</v>
      </c>
      <c r="C27" s="12">
        <v>24</v>
      </c>
      <c r="D27" s="11" t="str">
        <f>IF(C27&lt;=20,"X","")</f>
        <v/>
      </c>
      <c r="E27" s="2"/>
      <c r="F27" s="1"/>
      <c r="G27" s="9" t="s">
        <v>36</v>
      </c>
      <c r="H27" s="12"/>
      <c r="I27" s="1"/>
      <c r="J27" s="1"/>
      <c r="K27" s="1"/>
      <c r="L27" s="1"/>
      <c r="M27" s="9" t="s">
        <v>36</v>
      </c>
      <c r="N27" s="1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9" t="s">
        <v>37</v>
      </c>
      <c r="C28" s="10">
        <v>9</v>
      </c>
      <c r="D28" s="11" t="str">
        <f>IF(C28&lt;=4,"X","")</f>
        <v/>
      </c>
      <c r="E28" s="2"/>
      <c r="F28" s="1"/>
      <c r="G28" s="9" t="s">
        <v>37</v>
      </c>
      <c r="H28" s="10"/>
      <c r="I28" s="1"/>
      <c r="J28" s="1"/>
      <c r="K28" s="1"/>
      <c r="L28" s="1"/>
      <c r="M28" s="9" t="s">
        <v>37</v>
      </c>
      <c r="N28" s="10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9" t="s">
        <v>38</v>
      </c>
      <c r="C29" s="10">
        <v>1</v>
      </c>
      <c r="D29" s="11" t="str">
        <f>IF(C29&lt;=0,"X","")</f>
        <v/>
      </c>
      <c r="E29" s="2"/>
      <c r="F29" s="1"/>
      <c r="G29" s="9" t="s">
        <v>38</v>
      </c>
      <c r="H29" s="10"/>
      <c r="I29" s="1"/>
      <c r="J29" s="1"/>
      <c r="K29" s="1"/>
      <c r="L29" s="1"/>
      <c r="M29" s="9" t="s">
        <v>38</v>
      </c>
      <c r="N29" s="10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9" t="s">
        <v>39</v>
      </c>
      <c r="C30" s="10">
        <v>67</v>
      </c>
      <c r="D30" s="11" t="str">
        <f>IF(C30&lt;=50,"X","")</f>
        <v/>
      </c>
      <c r="E30" s="2"/>
      <c r="F30" s="1"/>
      <c r="G30" s="9" t="s">
        <v>39</v>
      </c>
      <c r="H30" s="10"/>
      <c r="I30" s="1"/>
      <c r="J30" s="1"/>
      <c r="K30" s="1"/>
      <c r="L30" s="1"/>
      <c r="M30" s="9" t="s">
        <v>39</v>
      </c>
      <c r="N30" s="10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9" t="s">
        <v>40</v>
      </c>
      <c r="C31" s="10">
        <v>88</v>
      </c>
      <c r="D31" s="11" t="str">
        <f>IF(C31&lt;=50,"X","")</f>
        <v/>
      </c>
      <c r="E31" s="2"/>
      <c r="F31" s="1"/>
      <c r="G31" s="9" t="s">
        <v>40</v>
      </c>
      <c r="H31" s="10"/>
      <c r="I31" s="1"/>
      <c r="J31" s="1"/>
      <c r="K31" s="1"/>
      <c r="L31" s="1"/>
      <c r="M31" s="9" t="s">
        <v>40</v>
      </c>
      <c r="N31" s="10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9" t="s">
        <v>41</v>
      </c>
      <c r="C32" s="10">
        <v>84</v>
      </c>
      <c r="D32" s="11" t="str">
        <f>IF(C32&lt;=40,"X","")</f>
        <v/>
      </c>
      <c r="E32" s="2"/>
      <c r="F32" s="1"/>
      <c r="G32" s="9" t="s">
        <v>41</v>
      </c>
      <c r="H32" s="10"/>
      <c r="I32" s="1"/>
      <c r="J32" s="1"/>
      <c r="K32" s="1"/>
      <c r="L32" s="1"/>
      <c r="M32" s="9" t="s">
        <v>41</v>
      </c>
      <c r="N32" s="10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9" t="s">
        <v>42</v>
      </c>
      <c r="C33" s="10">
        <v>133</v>
      </c>
      <c r="D33" s="11" t="str">
        <f>IF(C33&lt;=40,"X","")</f>
        <v/>
      </c>
      <c r="E33" s="2"/>
      <c r="F33" s="1"/>
      <c r="G33" s="9" t="s">
        <v>42</v>
      </c>
      <c r="H33" s="10"/>
      <c r="I33" s="1"/>
      <c r="J33" s="1"/>
      <c r="K33" s="1"/>
      <c r="L33" s="1"/>
      <c r="M33" s="9" t="s">
        <v>42</v>
      </c>
      <c r="N33" s="10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9" t="s">
        <v>43</v>
      </c>
      <c r="C34" s="10">
        <v>1</v>
      </c>
      <c r="D34" s="11" t="str">
        <f>IF(C34&lt;=0,"X","")</f>
        <v/>
      </c>
      <c r="E34" s="2"/>
      <c r="F34" s="1"/>
      <c r="G34" s="9" t="s">
        <v>43</v>
      </c>
      <c r="H34" s="10"/>
      <c r="I34" s="1"/>
      <c r="J34" s="1"/>
      <c r="K34" s="1"/>
      <c r="L34" s="1"/>
      <c r="M34" s="9" t="s">
        <v>43</v>
      </c>
      <c r="N34" s="10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9" t="s">
        <v>44</v>
      </c>
      <c r="C35" s="10">
        <v>3</v>
      </c>
      <c r="D35" s="11" t="str">
        <f>IF(C35&lt;=0,"X","")</f>
        <v/>
      </c>
      <c r="E35" s="2"/>
      <c r="F35" s="1"/>
      <c r="G35" s="9" t="s">
        <v>44</v>
      </c>
      <c r="H35" s="10"/>
      <c r="I35" s="1"/>
      <c r="J35" s="1"/>
      <c r="K35" s="1"/>
      <c r="L35" s="1"/>
      <c r="M35" s="9" t="s">
        <v>44</v>
      </c>
      <c r="N35" s="10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9" t="s">
        <v>45</v>
      </c>
      <c r="C36" s="10">
        <v>0</v>
      </c>
      <c r="D36" s="11" t="str">
        <f>IF(C36&lt;=2,"X","")</f>
        <v>X</v>
      </c>
      <c r="E36" s="2"/>
      <c r="F36" s="1"/>
      <c r="G36" s="9" t="s">
        <v>45</v>
      </c>
      <c r="H36" s="10"/>
      <c r="I36" s="1"/>
      <c r="J36" s="1"/>
      <c r="K36" s="1"/>
      <c r="L36" s="1"/>
      <c r="M36" s="9" t="s">
        <v>45</v>
      </c>
      <c r="N36" s="10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9" t="s">
        <v>46</v>
      </c>
      <c r="C37" s="16">
        <v>2</v>
      </c>
      <c r="D37" s="11" t="str">
        <f>IF(C37&lt;=2,"X","")</f>
        <v>X</v>
      </c>
      <c r="E37" s="2"/>
      <c r="F37" s="1"/>
      <c r="G37" s="9" t="s">
        <v>46</v>
      </c>
      <c r="H37" s="10"/>
      <c r="I37" s="1"/>
      <c r="J37" s="1"/>
      <c r="K37" s="1"/>
      <c r="L37" s="1"/>
      <c r="M37" s="9" t="s">
        <v>46</v>
      </c>
      <c r="N37" s="10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2"/>
      <c r="D38" s="2"/>
      <c r="E38" s="2"/>
      <c r="F38" s="1"/>
      <c r="G38" s="1"/>
      <c r="H38" s="1"/>
      <c r="I38" s="1"/>
      <c r="J38" s="17"/>
      <c r="K38" s="17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8" t="s">
        <v>7</v>
      </c>
      <c r="C39" s="19"/>
      <c r="D39" s="19"/>
      <c r="E39" s="2"/>
      <c r="F39" s="1"/>
      <c r="G39" s="20" t="s">
        <v>8</v>
      </c>
      <c r="H39" s="10"/>
      <c r="I39" s="1"/>
      <c r="J39" s="1"/>
      <c r="K39" s="1"/>
      <c r="L39" s="1"/>
      <c r="M39" s="99" t="s">
        <v>8</v>
      </c>
      <c r="N39" s="10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21"/>
      <c r="C40" s="22"/>
      <c r="D40" s="22"/>
      <c r="E40" s="2"/>
      <c r="F40" s="1"/>
      <c r="G40" s="20" t="s">
        <v>9</v>
      </c>
      <c r="H40" s="23"/>
      <c r="I40" s="1"/>
      <c r="J40" s="1"/>
      <c r="K40" s="1"/>
      <c r="L40" s="1"/>
      <c r="M40" s="99" t="s">
        <v>9</v>
      </c>
      <c r="N40" s="23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2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2"/>
      <c r="D42" s="2"/>
      <c r="E42" s="2"/>
      <c r="F42" s="1"/>
      <c r="G42" s="24" t="s">
        <v>10</v>
      </c>
      <c r="H42" s="25"/>
      <c r="I42" s="1"/>
      <c r="J42" s="1"/>
      <c r="K42" s="1"/>
      <c r="L42" s="1"/>
      <c r="M42" s="113" t="s">
        <v>11</v>
      </c>
      <c r="N42" s="11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2"/>
      <c r="D43" s="2"/>
      <c r="E43" s="2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2"/>
      <c r="D44" s="2"/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2"/>
      <c r="D45" s="2"/>
      <c r="E45" s="2"/>
      <c r="F45" s="1"/>
      <c r="G45" s="26" t="s">
        <v>12</v>
      </c>
      <c r="H45" s="27"/>
      <c r="I45" s="1"/>
      <c r="J45" s="1"/>
      <c r="K45" s="1"/>
      <c r="L45" s="1"/>
      <c r="M45" s="26" t="s">
        <v>12</v>
      </c>
      <c r="N45" s="2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2"/>
      <c r="D46" s="2"/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2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2"/>
      <c r="D48" s="2"/>
      <c r="E48" s="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2"/>
      <c r="D49" s="2"/>
      <c r="E49" s="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2"/>
      <c r="D50" s="2"/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28"/>
      <c r="C51" s="29"/>
      <c r="D51" s="26"/>
      <c r="E51" s="26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30"/>
      <c r="C52" s="2"/>
      <c r="D52" s="29"/>
      <c r="E52" s="29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2"/>
      <c r="C53" s="2"/>
      <c r="D53" s="31"/>
      <c r="E53" s="3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2"/>
      <c r="C54" s="2"/>
      <c r="D54" s="31"/>
      <c r="E54" s="3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2"/>
      <c r="C55" s="2"/>
      <c r="D55" s="31"/>
      <c r="E55" s="3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2"/>
      <c r="C56" s="2"/>
      <c r="D56" s="31"/>
      <c r="E56" s="3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2"/>
      <c r="C57" s="2"/>
      <c r="D57" s="31"/>
      <c r="E57" s="3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2"/>
      <c r="C58" s="2"/>
      <c r="D58" s="31"/>
      <c r="E58" s="3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32"/>
      <c r="C59" s="2"/>
      <c r="D59" s="31"/>
      <c r="E59" s="3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2"/>
      <c r="D60" s="2"/>
      <c r="E60" s="2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2"/>
      <c r="D61" s="2"/>
      <c r="E61" s="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2"/>
      <c r="D62" s="2"/>
      <c r="E62" s="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2"/>
      <c r="D63" s="2"/>
      <c r="E63" s="2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2"/>
      <c r="D64" s="2"/>
      <c r="E64" s="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2"/>
      <c r="D65" s="2"/>
      <c r="E65" s="2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2"/>
      <c r="D66" s="2"/>
      <c r="E66" s="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2"/>
      <c r="D67" s="2"/>
      <c r="E67" s="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2"/>
      <c r="D68" s="2"/>
      <c r="E68" s="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2"/>
      <c r="D69" s="2"/>
      <c r="E69" s="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2"/>
      <c r="D70" s="2"/>
      <c r="E70" s="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2"/>
      <c r="D71" s="2"/>
      <c r="E71" s="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2"/>
      <c r="D72" s="2"/>
      <c r="E72" s="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2"/>
      <c r="D73" s="2"/>
      <c r="E73" s="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2"/>
      <c r="D74" s="2"/>
      <c r="E74" s="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2"/>
      <c r="D75" s="2"/>
      <c r="E75" s="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2"/>
      <c r="D76" s="2"/>
      <c r="E76" s="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2"/>
      <c r="D77" s="2"/>
      <c r="E77" s="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2"/>
      <c r="D78" s="2"/>
      <c r="E78" s="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2"/>
      <c r="D79" s="2"/>
      <c r="E79" s="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2"/>
      <c r="D80" s="2"/>
      <c r="E80" s="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2"/>
      <c r="D81" s="2"/>
      <c r="E81" s="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2"/>
      <c r="D82" s="2"/>
      <c r="E82" s="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2"/>
      <c r="D83" s="2"/>
      <c r="E83" s="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</sheetData>
  <conditionalFormatting sqref="D53:D55">
    <cfRule type="containsText" dxfId="102" priority="8" operator="containsText" text="X">
      <formula>NOT(ISERROR(SEARCH("X",D53)))</formula>
    </cfRule>
  </conditionalFormatting>
  <conditionalFormatting sqref="E53:E55">
    <cfRule type="containsText" dxfId="101" priority="7" operator="containsText" text="X">
      <formula>NOT(ISERROR(SEARCH("X",E53)))</formula>
    </cfRule>
  </conditionalFormatting>
  <conditionalFormatting sqref="D56">
    <cfRule type="containsText" dxfId="100" priority="6" operator="containsText" text="X">
      <formula>NOT(ISERROR(SEARCH("X",D56)))</formula>
    </cfRule>
  </conditionalFormatting>
  <conditionalFormatting sqref="E56">
    <cfRule type="containsText" dxfId="99" priority="5" operator="containsText" text="X">
      <formula>NOT(ISERROR(SEARCH("X",E56)))</formula>
    </cfRule>
  </conditionalFormatting>
  <conditionalFormatting sqref="D57:D58">
    <cfRule type="containsText" dxfId="98" priority="4" operator="containsText" text="X">
      <formula>NOT(ISERROR(SEARCH("X",D57)))</formula>
    </cfRule>
  </conditionalFormatting>
  <conditionalFormatting sqref="E57:E58">
    <cfRule type="containsText" dxfId="97" priority="3" operator="containsText" text="X">
      <formula>NOT(ISERROR(SEARCH("X",E57)))</formula>
    </cfRule>
  </conditionalFormatting>
  <conditionalFormatting sqref="D59">
    <cfRule type="containsText" dxfId="96" priority="2" operator="containsText" text="X">
      <formula>NOT(ISERROR(SEARCH("X",D59)))</formula>
    </cfRule>
  </conditionalFormatting>
  <conditionalFormatting sqref="E59">
    <cfRule type="containsText" dxfId="95" priority="1" operator="containsText" text="X">
      <formula>NOT(ISERROR(SEARCH("X",E59)))</formula>
    </cfRule>
  </conditionalFormatting>
  <dataValidations count="3">
    <dataValidation type="whole" operator="greaterThanOrEqual" allowBlank="1" showInputMessage="1" showErrorMessage="1" errorTitle="&lt;&lt; FORMATAÇÃO INVÁLIDA &gt;&gt;" error="--- DATAS PRECISAM SER NÚMEROS E NÃO PODEM SER NEGATIVAS ---" sqref="H40 N40">
      <formula1>0</formula1>
    </dataValidation>
    <dataValidation type="whole" allowBlank="1" showInputMessage="1" showErrorMessage="1" errorTitle="&lt;&lt; FORMATAÇÃO INVÁLIDA &gt;&gt;" error="--- ESCREVA UM VALOR INTEIRO ENTRE 0 ATÉ 1000 ---" sqref="H4:H12 H14:H37 N14:N37 N4:N12">
      <formula1>0</formula1>
      <formula2>1000</formula2>
    </dataValidation>
    <dataValidation type="custom" allowBlank="1" showInputMessage="1" showErrorMessage="1" errorTitle="&lt;&lt; FORMATAÇÃO INVÁLIDA &gt;&gt;" error="--- NOMES PRECISAM ESTAR EM MAIÚSCULO ---" sqref="H39 N39">
      <formula1>EXACT(H39,UPPER(H39))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99CCFF"/>
  </sheetPr>
  <dimension ref="A1:AU158"/>
  <sheetViews>
    <sheetView showRowColHeaders="0" zoomScale="130" zoomScaleNormal="130" workbookViewId="0">
      <pane ySplit="2" topLeftCell="A3" activePane="bottomLeft" state="frozen"/>
      <selection pane="bottomLeft" sqref="A1:XFD1"/>
    </sheetView>
  </sheetViews>
  <sheetFormatPr defaultRowHeight="15" x14ac:dyDescent="0.25"/>
  <cols>
    <col min="1" max="1" width="3" style="30" customWidth="1"/>
    <col min="2" max="2" width="15.85546875" style="28" bestFit="1" customWidth="1"/>
    <col min="3" max="3" width="11.85546875" style="35" bestFit="1" customWidth="1"/>
    <col min="4" max="4" width="10.28515625" style="36" bestFit="1" customWidth="1"/>
    <col min="5" max="5" width="10.5703125" style="30" bestFit="1" customWidth="1"/>
    <col min="6" max="6" width="10.5703125" style="37" bestFit="1" customWidth="1"/>
    <col min="7" max="13" width="10.5703125" style="30" bestFit="1" customWidth="1"/>
    <col min="14" max="25" width="11.7109375" style="30" bestFit="1" customWidth="1"/>
    <col min="26" max="26" width="11.7109375" style="38" bestFit="1" customWidth="1"/>
    <col min="27" max="27" width="11.7109375" style="39" bestFit="1" customWidth="1"/>
    <col min="28" max="38" width="11.7109375" style="30" bestFit="1" customWidth="1"/>
    <col min="39" max="47" width="9.140625" style="30"/>
    <col min="48" max="16384" width="9.140625" style="40"/>
  </cols>
  <sheetData>
    <row r="1" spans="2:38" ht="7.5" customHeight="1" x14ac:dyDescent="0.25"/>
    <row r="2" spans="2:38" x14ac:dyDescent="0.25">
      <c r="B2" s="41" t="s">
        <v>47</v>
      </c>
      <c r="C2" s="42" t="s">
        <v>48</v>
      </c>
      <c r="D2" s="41" t="s">
        <v>49</v>
      </c>
      <c r="E2" s="41" t="s">
        <v>13</v>
      </c>
      <c r="F2" s="43" t="s">
        <v>14</v>
      </c>
      <c r="G2" s="41" t="s">
        <v>15</v>
      </c>
      <c r="H2" s="41" t="s">
        <v>16</v>
      </c>
      <c r="I2" s="41" t="s">
        <v>17</v>
      </c>
      <c r="J2" s="41" t="s">
        <v>18</v>
      </c>
      <c r="K2" s="41" t="s">
        <v>19</v>
      </c>
      <c r="L2" s="41" t="s">
        <v>20</v>
      </c>
      <c r="M2" s="41" t="s">
        <v>21</v>
      </c>
      <c r="N2" s="41" t="s">
        <v>22</v>
      </c>
      <c r="O2" s="41" t="s">
        <v>23</v>
      </c>
      <c r="P2" s="41" t="s">
        <v>24</v>
      </c>
      <c r="Q2" s="41" t="s">
        <v>25</v>
      </c>
      <c r="R2" s="41" t="s">
        <v>26</v>
      </c>
      <c r="S2" s="41" t="s">
        <v>27</v>
      </c>
      <c r="T2" s="41" t="s">
        <v>28</v>
      </c>
      <c r="U2" s="41" t="s">
        <v>29</v>
      </c>
      <c r="V2" s="41" t="s">
        <v>30</v>
      </c>
      <c r="W2" s="41" t="s">
        <v>31</v>
      </c>
      <c r="X2" s="41" t="s">
        <v>32</v>
      </c>
      <c r="Y2" s="41" t="s">
        <v>33</v>
      </c>
      <c r="Z2" s="44" t="s">
        <v>34</v>
      </c>
      <c r="AA2" s="45" t="s">
        <v>35</v>
      </c>
      <c r="AB2" s="43" t="s">
        <v>36</v>
      </c>
      <c r="AC2" s="41" t="s">
        <v>37</v>
      </c>
      <c r="AD2" s="41" t="s">
        <v>38</v>
      </c>
      <c r="AE2" s="41" t="s">
        <v>39</v>
      </c>
      <c r="AF2" s="41" t="s">
        <v>40</v>
      </c>
      <c r="AG2" s="41" t="s">
        <v>41</v>
      </c>
      <c r="AH2" s="41" t="s">
        <v>42</v>
      </c>
      <c r="AI2" s="41" t="s">
        <v>43</v>
      </c>
      <c r="AJ2" s="41" t="s">
        <v>44</v>
      </c>
      <c r="AK2" s="41" t="s">
        <v>45</v>
      </c>
      <c r="AL2" s="41" t="s">
        <v>46</v>
      </c>
    </row>
    <row r="3" spans="2:38" ht="15" customHeight="1" x14ac:dyDescent="0.25">
      <c r="B3" s="28" t="s">
        <v>50</v>
      </c>
      <c r="C3" s="35">
        <v>46236</v>
      </c>
      <c r="D3" s="36" t="s">
        <v>51</v>
      </c>
      <c r="I3" s="30">
        <v>3</v>
      </c>
      <c r="L3" s="30">
        <v>6</v>
      </c>
      <c r="N3" s="30">
        <v>1</v>
      </c>
      <c r="O3" s="30">
        <v>7</v>
      </c>
      <c r="Q3" s="39"/>
      <c r="T3" s="30">
        <v>4</v>
      </c>
      <c r="AA3" s="39">
        <v>2</v>
      </c>
      <c r="AB3" s="37">
        <v>1</v>
      </c>
      <c r="AF3" s="30">
        <v>10</v>
      </c>
    </row>
    <row r="4" spans="2:38" ht="15" customHeight="1" x14ac:dyDescent="0.25">
      <c r="B4" s="28" t="s">
        <v>52</v>
      </c>
      <c r="C4" s="35">
        <v>46244</v>
      </c>
      <c r="D4" s="36" t="s">
        <v>51</v>
      </c>
      <c r="F4" s="37">
        <v>3</v>
      </c>
      <c r="H4" s="30">
        <v>1</v>
      </c>
      <c r="I4" s="30">
        <v>1</v>
      </c>
      <c r="K4" s="30">
        <v>2</v>
      </c>
      <c r="Q4" s="39"/>
      <c r="AB4" s="37"/>
    </row>
    <row r="5" spans="2:38" ht="15" customHeight="1" x14ac:dyDescent="0.25">
      <c r="B5" s="28" t="s">
        <v>53</v>
      </c>
      <c r="C5" s="35">
        <v>46244</v>
      </c>
      <c r="D5" s="36" t="s">
        <v>54</v>
      </c>
      <c r="G5" s="30">
        <v>1</v>
      </c>
      <c r="I5" s="30">
        <v>4</v>
      </c>
      <c r="J5" s="30">
        <v>7</v>
      </c>
      <c r="L5" s="30">
        <v>9</v>
      </c>
      <c r="M5" s="30">
        <v>4</v>
      </c>
      <c r="Q5" s="39"/>
      <c r="AB5" s="37">
        <v>3</v>
      </c>
      <c r="AC5" s="30">
        <v>2</v>
      </c>
      <c r="AD5" s="30">
        <v>2</v>
      </c>
      <c r="AF5" s="30">
        <v>3</v>
      </c>
      <c r="AG5" s="30">
        <v>5</v>
      </c>
      <c r="AH5" s="30">
        <v>1</v>
      </c>
      <c r="AI5" s="30">
        <v>1</v>
      </c>
    </row>
    <row r="6" spans="2:38" ht="15" customHeight="1" x14ac:dyDescent="0.25">
      <c r="B6" s="28" t="s">
        <v>55</v>
      </c>
      <c r="C6" s="35">
        <v>46248</v>
      </c>
      <c r="D6" s="36" t="s">
        <v>54</v>
      </c>
      <c r="P6" s="30">
        <v>7</v>
      </c>
      <c r="Q6" s="39"/>
      <c r="U6" s="30">
        <v>2</v>
      </c>
      <c r="Z6" s="38">
        <v>4</v>
      </c>
      <c r="AB6" s="37"/>
      <c r="AE6" s="30">
        <v>4</v>
      </c>
      <c r="AF6" s="30">
        <v>3</v>
      </c>
    </row>
    <row r="7" spans="2:38" ht="15" customHeight="1" x14ac:dyDescent="0.25">
      <c r="B7" s="28" t="s">
        <v>56</v>
      </c>
      <c r="C7" s="35">
        <v>46251</v>
      </c>
      <c r="D7" s="36" t="s">
        <v>54</v>
      </c>
      <c r="H7" s="115">
        <v>1</v>
      </c>
      <c r="I7" s="115">
        <v>1</v>
      </c>
      <c r="Q7" s="39"/>
      <c r="AB7" s="37"/>
    </row>
    <row r="8" spans="2:38" ht="15" customHeight="1" x14ac:dyDescent="0.25">
      <c r="B8" s="28" t="s">
        <v>55</v>
      </c>
      <c r="C8" s="35">
        <v>46254</v>
      </c>
      <c r="D8" s="36" t="s">
        <v>54</v>
      </c>
      <c r="I8" s="30">
        <v>2</v>
      </c>
      <c r="O8" s="30">
        <v>5</v>
      </c>
      <c r="Q8" s="39"/>
      <c r="V8" s="30">
        <v>2</v>
      </c>
      <c r="AB8" s="37"/>
      <c r="AC8" s="30">
        <v>1</v>
      </c>
    </row>
    <row r="9" spans="2:38" ht="15" customHeight="1" x14ac:dyDescent="0.25">
      <c r="B9" s="28" t="s">
        <v>57</v>
      </c>
      <c r="C9" s="35">
        <v>46255</v>
      </c>
      <c r="D9" s="36" t="s">
        <v>54</v>
      </c>
      <c r="E9" s="30">
        <v>1</v>
      </c>
      <c r="G9" s="30">
        <v>3</v>
      </c>
      <c r="K9" s="30">
        <v>1</v>
      </c>
      <c r="O9" s="30">
        <v>1</v>
      </c>
      <c r="Q9" s="39"/>
      <c r="X9" s="30">
        <v>2</v>
      </c>
      <c r="AA9" s="39">
        <v>2</v>
      </c>
      <c r="AB9" s="37">
        <v>1</v>
      </c>
    </row>
    <row r="10" spans="2:38" ht="15" customHeight="1" x14ac:dyDescent="0.25">
      <c r="B10" s="28" t="s">
        <v>58</v>
      </c>
      <c r="C10" s="35">
        <v>46257</v>
      </c>
      <c r="D10" s="36" t="s">
        <v>54</v>
      </c>
      <c r="F10" s="37">
        <v>2</v>
      </c>
      <c r="Q10" s="39"/>
      <c r="AB10" s="37"/>
      <c r="AF10" s="30">
        <v>10</v>
      </c>
      <c r="AG10" s="30">
        <v>10</v>
      </c>
      <c r="AH10" s="30">
        <v>12</v>
      </c>
    </row>
    <row r="11" spans="2:38" ht="15" customHeight="1" x14ac:dyDescent="0.25">
      <c r="B11" s="28" t="s">
        <v>59</v>
      </c>
      <c r="C11" s="35">
        <v>46257</v>
      </c>
      <c r="D11" s="36" t="s">
        <v>54</v>
      </c>
      <c r="F11" s="37">
        <v>1</v>
      </c>
      <c r="H11" s="30">
        <v>1</v>
      </c>
      <c r="I11" s="30">
        <v>2</v>
      </c>
      <c r="N11" s="30">
        <v>2</v>
      </c>
      <c r="Q11" s="39">
        <v>1</v>
      </c>
      <c r="AB11" s="37"/>
    </row>
    <row r="12" spans="2:38" ht="15" customHeight="1" x14ac:dyDescent="0.25">
      <c r="B12" s="28" t="s">
        <v>58</v>
      </c>
      <c r="C12" s="35">
        <v>46257</v>
      </c>
      <c r="D12" s="36" t="s">
        <v>54</v>
      </c>
      <c r="Q12" s="39"/>
      <c r="AB12" s="37"/>
      <c r="AF12" s="30">
        <v>13</v>
      </c>
      <c r="AG12" s="30">
        <v>11</v>
      </c>
      <c r="AH12" s="30">
        <v>12</v>
      </c>
    </row>
    <row r="13" spans="2:38" ht="15" customHeight="1" x14ac:dyDescent="0.25">
      <c r="B13" s="28" t="s">
        <v>52</v>
      </c>
      <c r="C13" s="35">
        <v>46310</v>
      </c>
      <c r="D13" s="36" t="s">
        <v>51</v>
      </c>
      <c r="E13" s="30">
        <v>3</v>
      </c>
      <c r="H13" s="30">
        <v>2</v>
      </c>
      <c r="M13" s="30">
        <v>4</v>
      </c>
      <c r="Q13" s="39"/>
      <c r="W13" s="30">
        <v>4</v>
      </c>
      <c r="AB13" s="37"/>
    </row>
    <row r="14" spans="2:38" x14ac:dyDescent="0.25">
      <c r="B14" s="28" t="s">
        <v>60</v>
      </c>
      <c r="C14" s="35">
        <v>46310</v>
      </c>
      <c r="D14" s="36" t="s">
        <v>54</v>
      </c>
      <c r="E14" s="30">
        <v>1</v>
      </c>
      <c r="H14" s="30">
        <v>1</v>
      </c>
      <c r="J14" s="30">
        <v>2</v>
      </c>
      <c r="M14" s="30">
        <v>2</v>
      </c>
      <c r="O14" s="30">
        <v>1</v>
      </c>
      <c r="Q14" s="39"/>
      <c r="AB14" s="37"/>
    </row>
    <row r="15" spans="2:38" ht="15" customHeight="1" x14ac:dyDescent="0.25">
      <c r="B15" s="28" t="s">
        <v>62</v>
      </c>
      <c r="C15" s="35">
        <v>46310</v>
      </c>
      <c r="D15" s="36" t="s">
        <v>54</v>
      </c>
      <c r="F15" s="37">
        <v>3</v>
      </c>
      <c r="H15" s="30">
        <v>1</v>
      </c>
      <c r="K15" s="30">
        <v>2</v>
      </c>
      <c r="M15" s="30">
        <v>1</v>
      </c>
      <c r="AB15" s="37"/>
      <c r="AL15" s="30">
        <v>1</v>
      </c>
    </row>
    <row r="16" spans="2:38" ht="15" customHeight="1" x14ac:dyDescent="0.25">
      <c r="B16" s="28" t="s">
        <v>59</v>
      </c>
      <c r="C16" s="35">
        <v>46311</v>
      </c>
      <c r="D16" s="36" t="s">
        <v>54</v>
      </c>
      <c r="E16" s="30">
        <v>1</v>
      </c>
      <c r="H16" s="30">
        <v>2</v>
      </c>
      <c r="L16" s="30">
        <v>1</v>
      </c>
      <c r="AB16" s="37"/>
    </row>
    <row r="17" spans="2:38" ht="15" customHeight="1" x14ac:dyDescent="0.25">
      <c r="B17" s="28" t="s">
        <v>61</v>
      </c>
      <c r="C17" s="35">
        <v>46311</v>
      </c>
      <c r="D17" s="36" t="s">
        <v>54</v>
      </c>
      <c r="F17" s="37">
        <v>2</v>
      </c>
      <c r="AB17" s="37"/>
    </row>
    <row r="18" spans="2:38" x14ac:dyDescent="0.25">
      <c r="B18" s="28" t="s">
        <v>50</v>
      </c>
      <c r="C18" s="35">
        <v>46315</v>
      </c>
      <c r="D18" s="36" t="s">
        <v>51</v>
      </c>
      <c r="E18" s="30">
        <v>2</v>
      </c>
      <c r="F18" s="37">
        <v>4</v>
      </c>
      <c r="H18" s="30">
        <v>6</v>
      </c>
      <c r="J18" s="30">
        <v>8</v>
      </c>
      <c r="L18" s="30">
        <v>3</v>
      </c>
      <c r="M18" s="30">
        <v>2</v>
      </c>
      <c r="P18" s="30">
        <v>5</v>
      </c>
      <c r="Q18" s="30">
        <v>7</v>
      </c>
      <c r="R18" s="30">
        <v>8</v>
      </c>
      <c r="U18" s="30">
        <v>10</v>
      </c>
      <c r="X18" s="30">
        <v>3</v>
      </c>
      <c r="Z18" s="38">
        <v>1</v>
      </c>
      <c r="AA18" s="39">
        <v>4</v>
      </c>
      <c r="AB18" s="37">
        <v>2</v>
      </c>
      <c r="AC18" s="30">
        <v>4</v>
      </c>
      <c r="AE18" s="30">
        <v>7</v>
      </c>
      <c r="AG18" s="30">
        <v>6</v>
      </c>
      <c r="AJ18" s="30">
        <v>1</v>
      </c>
      <c r="AL18" s="30">
        <v>1</v>
      </c>
    </row>
    <row r="19" spans="2:38" ht="15" customHeight="1" x14ac:dyDescent="0.25">
      <c r="B19" s="28" t="s">
        <v>55</v>
      </c>
      <c r="C19" s="35">
        <v>46322</v>
      </c>
      <c r="D19" s="36" t="s">
        <v>54</v>
      </c>
      <c r="AB19" s="37"/>
      <c r="AL19" s="30">
        <v>1</v>
      </c>
    </row>
    <row r="20" spans="2:38" ht="15" customHeight="1" x14ac:dyDescent="0.25">
      <c r="AB20" s="37"/>
    </row>
    <row r="21" spans="2:38" ht="15" customHeight="1" x14ac:dyDescent="0.25">
      <c r="AB21" s="37"/>
    </row>
    <row r="22" spans="2:38" ht="15" customHeight="1" x14ac:dyDescent="0.25">
      <c r="AB22" s="37"/>
    </row>
    <row r="23" spans="2:38" ht="15" customHeight="1" x14ac:dyDescent="0.25">
      <c r="AB23" s="37"/>
    </row>
    <row r="24" spans="2:38" x14ac:dyDescent="0.25">
      <c r="AB24" s="37"/>
    </row>
    <row r="25" spans="2:38" ht="15" customHeight="1" x14ac:dyDescent="0.25">
      <c r="AB25" s="37"/>
    </row>
    <row r="26" spans="2:38" ht="15" customHeight="1" x14ac:dyDescent="0.25">
      <c r="AB26" s="37"/>
    </row>
    <row r="27" spans="2:38" ht="15" customHeight="1" x14ac:dyDescent="0.25">
      <c r="AB27" s="37"/>
    </row>
    <row r="28" spans="2:38" ht="15" customHeight="1" x14ac:dyDescent="0.25">
      <c r="AB28" s="37"/>
    </row>
    <row r="29" spans="2:38" ht="15" customHeight="1" x14ac:dyDescent="0.25">
      <c r="AB29" s="37"/>
    </row>
    <row r="30" spans="2:38" ht="15" customHeight="1" x14ac:dyDescent="0.25">
      <c r="AB30" s="37"/>
    </row>
    <row r="31" spans="2:38" ht="15" customHeight="1" x14ac:dyDescent="0.25">
      <c r="AB31" s="37"/>
    </row>
    <row r="32" spans="2:38" ht="15" customHeight="1" x14ac:dyDescent="0.25">
      <c r="AB32" s="37"/>
    </row>
    <row r="33" spans="28:28" x14ac:dyDescent="0.25">
      <c r="AB33" s="37"/>
    </row>
    <row r="34" spans="28:28" ht="15" customHeight="1" x14ac:dyDescent="0.25">
      <c r="AB34" s="37"/>
    </row>
    <row r="35" spans="28:28" ht="15" customHeight="1" x14ac:dyDescent="0.25">
      <c r="AB35" s="37"/>
    </row>
    <row r="36" spans="28:28" ht="15" customHeight="1" x14ac:dyDescent="0.25">
      <c r="AB36" s="37"/>
    </row>
    <row r="37" spans="28:28" ht="15" customHeight="1" x14ac:dyDescent="0.25">
      <c r="AB37" s="37"/>
    </row>
    <row r="38" spans="28:28" ht="15" customHeight="1" x14ac:dyDescent="0.25">
      <c r="AB38" s="37"/>
    </row>
    <row r="39" spans="28:28" ht="15" customHeight="1" x14ac:dyDescent="0.25">
      <c r="AB39" s="37"/>
    </row>
    <row r="40" spans="28:28" x14ac:dyDescent="0.25">
      <c r="AB40" s="37"/>
    </row>
    <row r="41" spans="28:28" ht="15" customHeight="1" x14ac:dyDescent="0.25">
      <c r="AB41" s="37"/>
    </row>
    <row r="42" spans="28:28" ht="15" customHeight="1" x14ac:dyDescent="0.25">
      <c r="AB42" s="37"/>
    </row>
    <row r="43" spans="28:28" ht="15" customHeight="1" x14ac:dyDescent="0.25">
      <c r="AB43" s="37"/>
    </row>
    <row r="44" spans="28:28" ht="15" customHeight="1" x14ac:dyDescent="0.25">
      <c r="AB44" s="37"/>
    </row>
    <row r="45" spans="28:28" ht="15" customHeight="1" x14ac:dyDescent="0.25">
      <c r="AB45" s="37"/>
    </row>
    <row r="46" spans="28:28" ht="15" customHeight="1" x14ac:dyDescent="0.25">
      <c r="AB46" s="37"/>
    </row>
    <row r="47" spans="28:28" x14ac:dyDescent="0.25">
      <c r="AB47" s="37"/>
    </row>
    <row r="48" spans="28:28" ht="15" customHeight="1" x14ac:dyDescent="0.25">
      <c r="AB48" s="37"/>
    </row>
    <row r="49" spans="28:28" ht="15" customHeight="1" x14ac:dyDescent="0.25">
      <c r="AB49" s="37"/>
    </row>
    <row r="50" spans="28:28" ht="15" customHeight="1" x14ac:dyDescent="0.25">
      <c r="AB50" s="37"/>
    </row>
    <row r="51" spans="28:28" ht="15" customHeight="1" x14ac:dyDescent="0.25">
      <c r="AB51" s="37"/>
    </row>
    <row r="52" spans="28:28" ht="15" customHeight="1" x14ac:dyDescent="0.25">
      <c r="AB52" s="37"/>
    </row>
    <row r="53" spans="28:28" ht="15" customHeight="1" x14ac:dyDescent="0.25">
      <c r="AB53" s="37"/>
    </row>
    <row r="54" spans="28:28" ht="15" customHeight="1" x14ac:dyDescent="0.25">
      <c r="AB54" s="37"/>
    </row>
    <row r="55" spans="28:28" ht="15" customHeight="1" x14ac:dyDescent="0.25">
      <c r="AB55" s="37"/>
    </row>
    <row r="56" spans="28:28" ht="15" customHeight="1" x14ac:dyDescent="0.25">
      <c r="AB56" s="37"/>
    </row>
    <row r="57" spans="28:28" ht="15" customHeight="1" x14ac:dyDescent="0.25">
      <c r="AB57" s="37"/>
    </row>
    <row r="58" spans="28:28" x14ac:dyDescent="0.25">
      <c r="AB58" s="37"/>
    </row>
    <row r="59" spans="28:28" ht="15" customHeight="1" x14ac:dyDescent="0.25">
      <c r="AB59" s="37"/>
    </row>
    <row r="60" spans="28:28" ht="15" customHeight="1" x14ac:dyDescent="0.25">
      <c r="AB60" s="37"/>
    </row>
    <row r="61" spans="28:28" ht="15" customHeight="1" x14ac:dyDescent="0.25">
      <c r="AB61" s="37"/>
    </row>
    <row r="62" spans="28:28" ht="15" customHeight="1" x14ac:dyDescent="0.25">
      <c r="AB62" s="37"/>
    </row>
    <row r="63" spans="28:28" ht="15" customHeight="1" x14ac:dyDescent="0.25">
      <c r="AB63" s="37"/>
    </row>
    <row r="64" spans="28:28" ht="15" customHeight="1" x14ac:dyDescent="0.25">
      <c r="AB64" s="37"/>
    </row>
    <row r="65" spans="28:28" ht="15" customHeight="1" x14ac:dyDescent="0.25">
      <c r="AB65" s="37"/>
    </row>
    <row r="66" spans="28:28" ht="15" customHeight="1" x14ac:dyDescent="0.25">
      <c r="AB66" s="37"/>
    </row>
    <row r="67" spans="28:28" ht="15" customHeight="1" x14ac:dyDescent="0.25">
      <c r="AB67" s="37"/>
    </row>
    <row r="68" spans="28:28" ht="15" customHeight="1" x14ac:dyDescent="0.25">
      <c r="AB68" s="37"/>
    </row>
    <row r="69" spans="28:28" ht="15" customHeight="1" x14ac:dyDescent="0.25">
      <c r="AB69" s="37"/>
    </row>
    <row r="70" spans="28:28" ht="15" customHeight="1" x14ac:dyDescent="0.25">
      <c r="AB70" s="37"/>
    </row>
    <row r="71" spans="28:28" ht="15" customHeight="1" x14ac:dyDescent="0.25">
      <c r="AB71" s="37"/>
    </row>
    <row r="72" spans="28:28" ht="15" customHeight="1" x14ac:dyDescent="0.25">
      <c r="AB72" s="37"/>
    </row>
    <row r="73" spans="28:28" x14ac:dyDescent="0.25">
      <c r="AB73" s="37"/>
    </row>
    <row r="74" spans="28:28" ht="15" customHeight="1" x14ac:dyDescent="0.25">
      <c r="AB74" s="37"/>
    </row>
    <row r="75" spans="28:28" ht="15" customHeight="1" x14ac:dyDescent="0.25">
      <c r="AB75" s="37"/>
    </row>
    <row r="76" spans="28:28" ht="15" customHeight="1" x14ac:dyDescent="0.25"/>
    <row r="77" spans="28:28" ht="15" customHeight="1" x14ac:dyDescent="0.25"/>
    <row r="78" spans="28:28" ht="15" customHeight="1" x14ac:dyDescent="0.25"/>
    <row r="80" spans="28:2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8" ht="15" customHeight="1" x14ac:dyDescent="0.25"/>
    <row r="89" ht="15" customHeight="1" x14ac:dyDescent="0.25"/>
    <row r="91" ht="15" customHeight="1" x14ac:dyDescent="0.25"/>
    <row r="92" ht="15" customHeight="1" x14ac:dyDescent="0.25"/>
    <row r="94" ht="15" customHeight="1" x14ac:dyDescent="0.25"/>
    <row r="95" ht="15" customHeight="1" x14ac:dyDescent="0.25"/>
    <row r="96" ht="15" customHeight="1" x14ac:dyDescent="0.25"/>
    <row r="97" spans="2:2" ht="15" customHeight="1" x14ac:dyDescent="0.25"/>
    <row r="98" spans="2:2" ht="15" customHeight="1" x14ac:dyDescent="0.25"/>
    <row r="99" spans="2:2" ht="15" customHeight="1" x14ac:dyDescent="0.25"/>
    <row r="100" spans="2:2" ht="15" customHeight="1" x14ac:dyDescent="0.25"/>
    <row r="101" spans="2:2" ht="15" customHeight="1" x14ac:dyDescent="0.25"/>
    <row r="102" spans="2:2" ht="15" customHeight="1" x14ac:dyDescent="0.25">
      <c r="B102" s="46"/>
    </row>
    <row r="103" spans="2:2" ht="15" customHeight="1" x14ac:dyDescent="0.25"/>
    <row r="104" spans="2:2" ht="15" customHeight="1" x14ac:dyDescent="0.25"/>
    <row r="105" spans="2:2" ht="15" customHeight="1" x14ac:dyDescent="0.25">
      <c r="B105" s="46"/>
    </row>
    <row r="107" spans="2:2" ht="15" customHeight="1" x14ac:dyDescent="0.25"/>
    <row r="108" spans="2:2" ht="15" customHeight="1" x14ac:dyDescent="0.25"/>
    <row r="109" spans="2:2" ht="15" customHeight="1" x14ac:dyDescent="0.25"/>
    <row r="110" spans="2:2" ht="15" customHeight="1" x14ac:dyDescent="0.25"/>
    <row r="112" spans="2:2" ht="15" customHeight="1" x14ac:dyDescent="0.25"/>
    <row r="113" spans="2:2" ht="15" customHeight="1" x14ac:dyDescent="0.25"/>
    <row r="114" spans="2:2" ht="15" customHeight="1" x14ac:dyDescent="0.25"/>
    <row r="115" spans="2:2" ht="15" customHeight="1" x14ac:dyDescent="0.25"/>
    <row r="116" spans="2:2" ht="15" customHeight="1" x14ac:dyDescent="0.25"/>
    <row r="117" spans="2:2" ht="15" customHeight="1" x14ac:dyDescent="0.25"/>
    <row r="119" spans="2:2" ht="15" customHeight="1" x14ac:dyDescent="0.25"/>
    <row r="120" spans="2:2" ht="15" customHeight="1" x14ac:dyDescent="0.25"/>
    <row r="121" spans="2:2" ht="15" customHeight="1" x14ac:dyDescent="0.25"/>
    <row r="123" spans="2:2" ht="15" customHeight="1" x14ac:dyDescent="0.25"/>
    <row r="124" spans="2:2" ht="15" customHeight="1" x14ac:dyDescent="0.25"/>
    <row r="125" spans="2:2" ht="15" customHeight="1" x14ac:dyDescent="0.25">
      <c r="B125" s="46"/>
    </row>
    <row r="126" spans="2:2" ht="15" customHeight="1" x14ac:dyDescent="0.25"/>
    <row r="127" spans="2:2" ht="15" customHeight="1" x14ac:dyDescent="0.25"/>
    <row r="128" spans="2:2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</sheetData>
  <conditionalFormatting sqref="D1:D1048576">
    <cfRule type="containsText" dxfId="77" priority="5" operator="containsText" text="RETIRADA">
      <formula>NOT(ISERROR(SEARCH("RETIRADA",D1)))</formula>
    </cfRule>
    <cfRule type="containsText" dxfId="76" priority="6" operator="containsText" text="ENTRADA">
      <formula>NOT(ISERROR(SEARCH("ENTRADA",D1)))</formula>
    </cfRule>
  </conditionalFormatting>
  <conditionalFormatting sqref="R3:AJ14 AK3:AL75 O3:P14 O15:AJ75 B3:M75 B76:AL1000">
    <cfRule type="expression" dxfId="75" priority="7">
      <formula>AND($B3&lt;&gt;"",MOD(ROW(),2)=1)</formula>
    </cfRule>
    <cfRule type="expression" dxfId="74" priority="8">
      <formula>AND($B3&lt;&gt;"",MOD(ROW(),2)=0)</formula>
    </cfRule>
  </conditionalFormatting>
  <conditionalFormatting sqref="Q3:Q14">
    <cfRule type="expression" dxfId="73" priority="3">
      <formula>AND($B3&lt;&gt;"",MOD(ROW(),2)=1)</formula>
    </cfRule>
    <cfRule type="expression" dxfId="72" priority="4">
      <formula>AND($B3&lt;&gt;"",MOD(ROW(),2)=0)</formula>
    </cfRule>
  </conditionalFormatting>
  <conditionalFormatting sqref="N3:N75">
    <cfRule type="expression" dxfId="71" priority="1">
      <formula>AND($B3&lt;&gt;"",MOD(ROW(),2)=1)</formula>
    </cfRule>
    <cfRule type="expression" dxfId="70" priority="2">
      <formula>AND($B3&lt;&gt;"",MOD(ROW(),2)=0)</formula>
    </cfRule>
  </conditionalFormatting>
  <dataValidations count="1">
    <dataValidation type="custom" allowBlank="1" showInputMessage="1" showErrorMessage="1" errorTitle="&lt;&lt; FORMATAÇÃO INVÁLIDA &gt;&gt;" error="--- NOMES PRECISAM ESTAR EM MAIÚSCULO ---" sqref="B160:B1000 B99 B129">
      <formula1>EXACT(B99,UPPER(B99))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66"/>
  </sheetPr>
  <dimension ref="A1:AG83"/>
  <sheetViews>
    <sheetView showRowColHeaders="0" topLeftCell="A7" zoomScale="85" zoomScaleNormal="85" workbookViewId="0"/>
  </sheetViews>
  <sheetFormatPr defaultColWidth="9.7109375" defaultRowHeight="15" x14ac:dyDescent="0.25"/>
  <cols>
    <col min="1" max="1" width="9.7109375" customWidth="1"/>
    <col min="2" max="2" width="34.140625" bestFit="1" customWidth="1"/>
    <col min="3" max="3" width="25.7109375" customWidth="1"/>
    <col min="4" max="4" width="10.7109375" customWidth="1"/>
    <col min="5" max="5" width="12.140625" style="33" bestFit="1" customWidth="1"/>
    <col min="6" max="6" width="11.85546875" style="33" customWidth="1"/>
    <col min="7" max="7" width="13.5703125" style="33" customWidth="1"/>
    <col min="8" max="8" width="9.7109375" customWidth="1"/>
    <col min="9" max="9" width="34.140625" customWidth="1"/>
    <col min="10" max="10" width="25.7109375" customWidth="1"/>
    <col min="11" max="11" width="10.7109375" customWidth="1"/>
    <col min="12" max="12" width="12.140625" bestFit="1" customWidth="1"/>
    <col min="13" max="16" width="9.7109375" customWidth="1"/>
    <col min="17" max="17" width="34.140625" customWidth="1"/>
    <col min="18" max="18" width="25.7109375" customWidth="1"/>
    <col min="19" max="19" width="10.7109375" customWidth="1"/>
    <col min="20" max="20" width="12.140625" bestFit="1" customWidth="1"/>
    <col min="21" max="21" width="13.5703125" style="33" customWidth="1"/>
    <col min="22" max="22" width="9.7109375" customWidth="1"/>
    <col min="23" max="23" width="34.140625" customWidth="1"/>
    <col min="24" max="24" width="25.7109375" customWidth="1"/>
    <col min="25" max="25" width="10.7109375" customWidth="1"/>
    <col min="26" max="26" width="12.140625" bestFit="1" customWidth="1"/>
  </cols>
  <sheetData>
    <row r="1" spans="1:33" x14ac:dyDescent="0.25">
      <c r="A1" s="47"/>
      <c r="B1" s="47"/>
      <c r="C1" s="47"/>
      <c r="D1" s="47"/>
      <c r="E1" s="48"/>
      <c r="F1" s="48"/>
      <c r="G1" s="48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</row>
    <row r="2" spans="1:33" x14ac:dyDescent="0.25">
      <c r="A2" s="47"/>
      <c r="B2" s="49" t="s">
        <v>63</v>
      </c>
      <c r="C2" s="49" t="s">
        <v>0</v>
      </c>
      <c r="D2" s="49" t="s">
        <v>64</v>
      </c>
      <c r="E2" s="49" t="s">
        <v>1</v>
      </c>
      <c r="F2" s="50" t="s">
        <v>2</v>
      </c>
      <c r="G2" s="48"/>
      <c r="H2" s="47"/>
      <c r="I2" s="49" t="s">
        <v>63</v>
      </c>
      <c r="J2" s="49" t="s">
        <v>0</v>
      </c>
      <c r="K2" s="49" t="s">
        <v>64</v>
      </c>
      <c r="L2" s="6" t="s">
        <v>1</v>
      </c>
      <c r="M2" s="47"/>
      <c r="N2" s="47"/>
      <c r="O2" s="47"/>
      <c r="P2" s="47"/>
      <c r="Q2" s="49" t="s">
        <v>63</v>
      </c>
      <c r="R2" s="49" t="s">
        <v>0</v>
      </c>
      <c r="S2" s="49" t="s">
        <v>64</v>
      </c>
      <c r="T2" s="51" t="s">
        <v>1</v>
      </c>
      <c r="U2" s="48"/>
      <c r="V2" s="47"/>
      <c r="W2" s="52" t="s">
        <v>63</v>
      </c>
      <c r="X2" s="52" t="s">
        <v>0</v>
      </c>
      <c r="Y2" s="53" t="s">
        <v>64</v>
      </c>
      <c r="Z2" s="52" t="s">
        <v>1</v>
      </c>
      <c r="AA2" s="47"/>
      <c r="AB2" s="47"/>
      <c r="AC2" s="47"/>
      <c r="AD2" s="47"/>
      <c r="AE2" s="47"/>
      <c r="AF2" s="47"/>
      <c r="AG2" s="47"/>
    </row>
    <row r="3" spans="1:33" x14ac:dyDescent="0.25">
      <c r="A3" s="47"/>
      <c r="B3" s="7"/>
      <c r="C3" s="7"/>
      <c r="D3" s="7"/>
      <c r="E3" s="7"/>
      <c r="F3" s="50" t="s">
        <v>5</v>
      </c>
      <c r="G3" s="48"/>
      <c r="H3" s="47"/>
      <c r="I3" s="8"/>
      <c r="J3" s="8"/>
      <c r="K3" s="8"/>
      <c r="L3" s="8"/>
      <c r="M3" s="47"/>
      <c r="N3" s="47"/>
      <c r="O3" s="47"/>
      <c r="P3" s="47"/>
      <c r="Q3" s="100"/>
      <c r="R3" s="100"/>
      <c r="S3" s="100"/>
      <c r="T3" s="100"/>
      <c r="U3" s="48"/>
      <c r="V3" s="47"/>
      <c r="W3" s="54"/>
      <c r="X3" s="55"/>
      <c r="Y3" s="55"/>
      <c r="Z3" s="56"/>
      <c r="AA3" s="47"/>
      <c r="AB3" s="47"/>
      <c r="AC3" s="47"/>
      <c r="AD3" s="47"/>
      <c r="AE3" s="47"/>
      <c r="AF3" s="47"/>
      <c r="AG3" s="47"/>
    </row>
    <row r="4" spans="1:33" ht="39.950000000000003" customHeight="1" x14ac:dyDescent="0.25">
      <c r="A4" s="47"/>
      <c r="B4" s="57" t="s">
        <v>65</v>
      </c>
      <c r="C4" s="58" t="s">
        <v>66</v>
      </c>
      <c r="D4" s="59"/>
      <c r="E4" s="60">
        <v>8</v>
      </c>
      <c r="F4" s="61" t="str">
        <f>IF(E4&lt;=2,"X","")</f>
        <v/>
      </c>
      <c r="G4" s="48"/>
      <c r="H4" s="62" t="s">
        <v>67</v>
      </c>
      <c r="I4" s="57" t="s">
        <v>65</v>
      </c>
      <c r="J4" s="58" t="s">
        <v>66</v>
      </c>
      <c r="K4" s="59"/>
      <c r="L4" s="60"/>
      <c r="M4" s="47"/>
      <c r="N4" s="47"/>
      <c r="O4" s="47"/>
      <c r="P4" s="47"/>
      <c r="Q4" s="57" t="s">
        <v>65</v>
      </c>
      <c r="R4" s="58" t="s">
        <v>66</v>
      </c>
      <c r="S4" s="59"/>
      <c r="T4" s="60"/>
      <c r="U4" s="48"/>
      <c r="V4" s="62"/>
      <c r="W4" s="57" t="s">
        <v>65</v>
      </c>
      <c r="X4" s="58" t="s">
        <v>66</v>
      </c>
      <c r="Y4" s="63"/>
      <c r="Z4" s="64"/>
      <c r="AA4" s="47"/>
      <c r="AB4" s="47"/>
      <c r="AC4" s="47"/>
      <c r="AD4" s="47"/>
      <c r="AE4" s="47"/>
      <c r="AF4" s="47"/>
      <c r="AG4" s="47"/>
    </row>
    <row r="5" spans="1:33" ht="39.950000000000003" customHeight="1" x14ac:dyDescent="0.25">
      <c r="A5" s="47"/>
      <c r="B5" s="102" t="s">
        <v>68</v>
      </c>
      <c r="C5" s="103" t="s">
        <v>69</v>
      </c>
      <c r="D5" s="59"/>
      <c r="E5" s="104">
        <v>7</v>
      </c>
      <c r="F5" s="105" t="str">
        <f t="shared" ref="F5:F6" si="0">IF(E5&lt;=2,"X","")</f>
        <v/>
      </c>
      <c r="G5" s="48"/>
      <c r="H5" s="47"/>
      <c r="I5" s="57" t="s">
        <v>68</v>
      </c>
      <c r="J5" s="65" t="s">
        <v>69</v>
      </c>
      <c r="K5" s="59"/>
      <c r="L5" s="60"/>
      <c r="M5" s="47"/>
      <c r="N5" s="47"/>
      <c r="O5" s="47"/>
      <c r="P5" s="47"/>
      <c r="Q5" s="57" t="s">
        <v>68</v>
      </c>
      <c r="R5" s="65" t="s">
        <v>69</v>
      </c>
      <c r="S5" s="59"/>
      <c r="T5" s="60"/>
      <c r="U5" s="48"/>
      <c r="V5" s="47"/>
      <c r="W5" s="57" t="s">
        <v>68</v>
      </c>
      <c r="X5" s="65" t="s">
        <v>69</v>
      </c>
      <c r="Y5" s="63"/>
      <c r="Z5" s="64"/>
      <c r="AA5" s="47"/>
      <c r="AB5" s="47"/>
      <c r="AC5" s="47"/>
      <c r="AD5" s="47"/>
      <c r="AE5" s="47"/>
      <c r="AF5" s="47"/>
      <c r="AG5" s="47"/>
    </row>
    <row r="6" spans="1:33" ht="39.950000000000003" customHeight="1" x14ac:dyDescent="0.25">
      <c r="A6" s="47"/>
      <c r="B6" s="57" t="s">
        <v>70</v>
      </c>
      <c r="C6" s="58" t="s">
        <v>71</v>
      </c>
      <c r="D6" s="59"/>
      <c r="E6" s="60">
        <v>0</v>
      </c>
      <c r="F6" s="61" t="str">
        <f t="shared" si="0"/>
        <v>X</v>
      </c>
      <c r="G6" s="48"/>
      <c r="H6" s="47"/>
      <c r="I6" s="57" t="s">
        <v>70</v>
      </c>
      <c r="J6" s="58" t="s">
        <v>71</v>
      </c>
      <c r="K6" s="59"/>
      <c r="L6" s="60"/>
      <c r="M6" s="47"/>
      <c r="N6" s="47"/>
      <c r="O6" s="47"/>
      <c r="P6" s="47"/>
      <c r="Q6" s="57" t="s">
        <v>70</v>
      </c>
      <c r="R6" s="58" t="s">
        <v>71</v>
      </c>
      <c r="S6" s="59"/>
      <c r="T6" s="60"/>
      <c r="U6" s="48"/>
      <c r="V6" s="47"/>
      <c r="W6" s="57" t="s">
        <v>70</v>
      </c>
      <c r="X6" s="58" t="s">
        <v>71</v>
      </c>
      <c r="Y6" s="63"/>
      <c r="Z6" s="64"/>
      <c r="AA6" s="47"/>
      <c r="AB6" s="47"/>
      <c r="AC6" s="47"/>
      <c r="AD6" s="47"/>
      <c r="AE6" s="47"/>
      <c r="AF6" s="47"/>
      <c r="AG6" s="47"/>
    </row>
    <row r="7" spans="1:33" ht="39.950000000000003" customHeight="1" x14ac:dyDescent="0.25">
      <c r="A7" s="47"/>
      <c r="B7" s="106" t="s">
        <v>72</v>
      </c>
      <c r="C7" s="103" t="s">
        <v>73</v>
      </c>
      <c r="D7" s="59"/>
      <c r="E7" s="104">
        <v>2</v>
      </c>
      <c r="F7" s="61" t="str">
        <f>IF(E7&lt;=2,"X","")</f>
        <v>X</v>
      </c>
      <c r="G7" s="48"/>
      <c r="H7" s="47"/>
      <c r="I7" s="57" t="s">
        <v>72</v>
      </c>
      <c r="J7" s="65" t="s">
        <v>73</v>
      </c>
      <c r="K7" s="59"/>
      <c r="L7" s="60"/>
      <c r="M7" s="47"/>
      <c r="N7" s="47"/>
      <c r="O7" s="47"/>
      <c r="P7" s="47"/>
      <c r="Q7" s="57" t="s">
        <v>72</v>
      </c>
      <c r="R7" s="65" t="s">
        <v>73</v>
      </c>
      <c r="S7" s="59"/>
      <c r="T7" s="60"/>
      <c r="U7" s="48"/>
      <c r="V7" s="47"/>
      <c r="W7" s="57" t="s">
        <v>72</v>
      </c>
      <c r="X7" s="65" t="s">
        <v>73</v>
      </c>
      <c r="Y7" s="63"/>
      <c r="Z7" s="64"/>
      <c r="AA7" s="47"/>
      <c r="AB7" s="47"/>
      <c r="AC7" s="47"/>
      <c r="AD7" s="47"/>
      <c r="AE7" s="47"/>
      <c r="AF7" s="47"/>
      <c r="AG7" s="47"/>
    </row>
    <row r="8" spans="1:33" ht="39.950000000000003" customHeight="1" x14ac:dyDescent="0.25">
      <c r="A8" s="47"/>
      <c r="B8" s="57" t="s">
        <v>74</v>
      </c>
      <c r="C8" s="58" t="s">
        <v>75</v>
      </c>
      <c r="D8" s="59"/>
      <c r="E8" s="60">
        <v>4</v>
      </c>
      <c r="F8" s="61" t="str">
        <f>IF(E8&lt;=1,"X","")</f>
        <v/>
      </c>
      <c r="G8" s="48"/>
      <c r="H8" s="47"/>
      <c r="I8" s="57" t="s">
        <v>74</v>
      </c>
      <c r="J8" s="58" t="s">
        <v>75</v>
      </c>
      <c r="K8" s="59"/>
      <c r="L8" s="60"/>
      <c r="M8" s="47"/>
      <c r="N8" s="47"/>
      <c r="O8" s="47"/>
      <c r="P8" s="47"/>
      <c r="Q8" s="57" t="s">
        <v>74</v>
      </c>
      <c r="R8" s="58" t="s">
        <v>75</v>
      </c>
      <c r="S8" s="59"/>
      <c r="T8" s="60"/>
      <c r="U8" s="48"/>
      <c r="V8" s="47"/>
      <c r="W8" s="57" t="s">
        <v>74</v>
      </c>
      <c r="X8" s="58" t="s">
        <v>75</v>
      </c>
      <c r="Y8" s="63"/>
      <c r="Z8" s="64"/>
      <c r="AA8" s="47"/>
      <c r="AB8" s="47"/>
      <c r="AC8" s="47"/>
      <c r="AD8" s="47"/>
      <c r="AE8" s="47"/>
      <c r="AF8" s="47"/>
      <c r="AG8" s="47"/>
    </row>
    <row r="9" spans="1:33" ht="39.950000000000003" customHeight="1" x14ac:dyDescent="0.25">
      <c r="A9" s="47"/>
      <c r="B9" s="57" t="s">
        <v>76</v>
      </c>
      <c r="C9" s="65" t="s">
        <v>77</v>
      </c>
      <c r="D9" s="66"/>
      <c r="E9" s="60">
        <v>0</v>
      </c>
      <c r="F9" s="61" t="str">
        <f>IF(E9&lt;=2,"X","")</f>
        <v>X</v>
      </c>
      <c r="G9" s="48"/>
      <c r="H9" s="47"/>
      <c r="I9" s="57" t="s">
        <v>76</v>
      </c>
      <c r="J9" s="65" t="s">
        <v>77</v>
      </c>
      <c r="K9" s="66"/>
      <c r="L9" s="60"/>
      <c r="M9" s="47"/>
      <c r="N9" s="47"/>
      <c r="O9" s="47"/>
      <c r="P9" s="47"/>
      <c r="Q9" s="57" t="s">
        <v>76</v>
      </c>
      <c r="R9" s="65" t="s">
        <v>77</v>
      </c>
      <c r="S9" s="66"/>
      <c r="T9" s="60"/>
      <c r="U9" s="48"/>
      <c r="V9" s="47"/>
      <c r="W9" s="57" t="s">
        <v>76</v>
      </c>
      <c r="X9" s="65" t="s">
        <v>77</v>
      </c>
      <c r="Y9" s="67"/>
      <c r="Z9" s="64"/>
      <c r="AA9" s="47"/>
      <c r="AB9" s="47"/>
      <c r="AC9" s="47"/>
      <c r="AD9" s="47"/>
      <c r="AE9" s="47"/>
      <c r="AF9" s="47"/>
      <c r="AG9" s="47"/>
    </row>
    <row r="10" spans="1:33" ht="39.950000000000003" customHeight="1" x14ac:dyDescent="0.25">
      <c r="A10" s="47"/>
      <c r="B10" s="57" t="s">
        <v>78</v>
      </c>
      <c r="C10" s="58" t="s">
        <v>79</v>
      </c>
      <c r="D10" s="59"/>
      <c r="E10" s="60">
        <v>4</v>
      </c>
      <c r="F10" s="61" t="str">
        <f>IF(E10&lt;=2,"X","")</f>
        <v/>
      </c>
      <c r="G10" s="48"/>
      <c r="H10" s="47"/>
      <c r="I10" s="57" t="s">
        <v>78</v>
      </c>
      <c r="J10" s="58" t="s">
        <v>79</v>
      </c>
      <c r="K10" s="59"/>
      <c r="L10" s="60"/>
      <c r="M10" s="47"/>
      <c r="N10" s="47"/>
      <c r="O10" s="47"/>
      <c r="P10" s="47"/>
      <c r="Q10" s="57" t="s">
        <v>78</v>
      </c>
      <c r="R10" s="58" t="s">
        <v>79</v>
      </c>
      <c r="S10" s="59"/>
      <c r="T10" s="60"/>
      <c r="U10" s="48"/>
      <c r="V10" s="47"/>
      <c r="W10" s="57" t="s">
        <v>78</v>
      </c>
      <c r="X10" s="58" t="s">
        <v>79</v>
      </c>
      <c r="Y10" s="63"/>
      <c r="Z10" s="64"/>
      <c r="AA10" s="47"/>
      <c r="AB10" s="47"/>
      <c r="AC10" s="47"/>
      <c r="AD10" s="47"/>
      <c r="AE10" s="47"/>
      <c r="AF10" s="47"/>
      <c r="AG10" s="47"/>
    </row>
    <row r="11" spans="1:33" ht="39.950000000000003" customHeight="1" x14ac:dyDescent="0.25">
      <c r="A11" s="47"/>
      <c r="B11" s="57" t="s">
        <v>80</v>
      </c>
      <c r="C11" s="65" t="s">
        <v>81</v>
      </c>
      <c r="D11" s="59"/>
      <c r="E11" s="60">
        <v>3</v>
      </c>
      <c r="F11" s="61" t="str">
        <f>IF(E11&lt;=0,"X","")</f>
        <v/>
      </c>
      <c r="G11" s="48"/>
      <c r="H11" s="47"/>
      <c r="I11" s="57" t="s">
        <v>80</v>
      </c>
      <c r="J11" s="65" t="s">
        <v>81</v>
      </c>
      <c r="K11" s="59"/>
      <c r="L11" s="60"/>
      <c r="M11" s="47"/>
      <c r="N11" s="47"/>
      <c r="O11" s="47"/>
      <c r="P11" s="47"/>
      <c r="Q11" s="57" t="s">
        <v>80</v>
      </c>
      <c r="R11" s="65" t="s">
        <v>81</v>
      </c>
      <c r="S11" s="59"/>
      <c r="T11" s="60"/>
      <c r="U11" s="48"/>
      <c r="V11" s="47"/>
      <c r="W11" s="57" t="s">
        <v>80</v>
      </c>
      <c r="X11" s="65" t="s">
        <v>81</v>
      </c>
      <c r="Y11" s="59"/>
      <c r="Z11" s="60"/>
      <c r="AA11" s="47"/>
      <c r="AB11" s="47"/>
      <c r="AC11" s="47"/>
      <c r="AD11" s="47"/>
      <c r="AE11" s="47"/>
      <c r="AF11" s="47"/>
      <c r="AG11" s="47"/>
    </row>
    <row r="12" spans="1:33" ht="39.950000000000003" customHeight="1" x14ac:dyDescent="0.25">
      <c r="A12" s="47"/>
      <c r="B12" s="57" t="s">
        <v>82</v>
      </c>
      <c r="C12" s="58" t="s">
        <v>83</v>
      </c>
      <c r="D12" s="59"/>
      <c r="E12" s="60">
        <v>0</v>
      </c>
      <c r="F12" s="61" t="str">
        <f>IF(E12&lt;=2,"X","")</f>
        <v>X</v>
      </c>
      <c r="G12" s="48"/>
      <c r="H12" s="47"/>
      <c r="I12" s="57" t="s">
        <v>82</v>
      </c>
      <c r="J12" s="58" t="s">
        <v>83</v>
      </c>
      <c r="K12" s="59"/>
      <c r="L12" s="60"/>
      <c r="M12" s="47"/>
      <c r="N12" s="47"/>
      <c r="O12" s="47"/>
      <c r="P12" s="47"/>
      <c r="Q12" s="57" t="s">
        <v>82</v>
      </c>
      <c r="R12" s="58" t="s">
        <v>83</v>
      </c>
      <c r="S12" s="59"/>
      <c r="T12" s="60"/>
      <c r="U12" s="48"/>
      <c r="V12" s="47"/>
      <c r="W12" s="57" t="s">
        <v>82</v>
      </c>
      <c r="X12" s="58" t="s">
        <v>83</v>
      </c>
      <c r="Y12" s="63"/>
      <c r="Z12" s="64"/>
      <c r="AA12" s="47"/>
      <c r="AB12" s="47"/>
      <c r="AC12" s="47"/>
      <c r="AD12" s="47"/>
      <c r="AE12" s="47"/>
      <c r="AF12" s="47"/>
      <c r="AG12" s="47"/>
    </row>
    <row r="13" spans="1:33" ht="39.950000000000003" customHeight="1" x14ac:dyDescent="0.25">
      <c r="A13" s="47"/>
      <c r="B13" s="57" t="s">
        <v>84</v>
      </c>
      <c r="C13" s="65" t="s">
        <v>85</v>
      </c>
      <c r="D13" s="59"/>
      <c r="E13" s="60">
        <v>5</v>
      </c>
      <c r="F13" s="61" t="str">
        <f>IF(E13&lt;=2,"X","")</f>
        <v/>
      </c>
      <c r="G13" s="48"/>
      <c r="H13" s="47"/>
      <c r="I13" s="57" t="s">
        <v>84</v>
      </c>
      <c r="J13" s="65" t="s">
        <v>85</v>
      </c>
      <c r="K13" s="59"/>
      <c r="L13" s="60"/>
      <c r="M13" s="47"/>
      <c r="N13" s="47"/>
      <c r="O13" s="47"/>
      <c r="P13" s="47"/>
      <c r="Q13" s="57" t="s">
        <v>84</v>
      </c>
      <c r="R13" s="65" t="s">
        <v>85</v>
      </c>
      <c r="S13" s="59"/>
      <c r="T13" s="60"/>
      <c r="U13" s="48"/>
      <c r="V13" s="47"/>
      <c r="W13" s="57" t="s">
        <v>84</v>
      </c>
      <c r="X13" s="65" t="s">
        <v>85</v>
      </c>
      <c r="Y13" s="59"/>
      <c r="Z13" s="68"/>
      <c r="AA13" s="47"/>
      <c r="AB13" s="47"/>
      <c r="AC13" s="47"/>
      <c r="AD13" s="47"/>
      <c r="AE13" s="47"/>
      <c r="AF13" s="47"/>
      <c r="AG13" s="47"/>
    </row>
    <row r="14" spans="1:33" ht="32.25" x14ac:dyDescent="0.25">
      <c r="A14" s="47"/>
      <c r="B14" s="47"/>
      <c r="C14" s="47"/>
      <c r="D14" s="47"/>
      <c r="E14" s="48"/>
      <c r="F14" s="48"/>
      <c r="G14" s="48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V14" s="47"/>
      <c r="W14" s="69" t="s">
        <v>86</v>
      </c>
      <c r="X14" s="16"/>
      <c r="Y14" s="70"/>
      <c r="Z14" s="68">
        <f>SUM(Z4:Z13)</f>
        <v>0</v>
      </c>
      <c r="AA14" s="47"/>
      <c r="AB14" s="47"/>
      <c r="AC14" s="47"/>
      <c r="AD14" s="47"/>
      <c r="AE14" s="47"/>
      <c r="AF14" s="47"/>
      <c r="AG14" s="47"/>
    </row>
    <row r="15" spans="1:33" x14ac:dyDescent="0.25">
      <c r="A15" s="47"/>
      <c r="B15" s="71" t="s">
        <v>7</v>
      </c>
      <c r="C15" s="72"/>
      <c r="D15" s="72"/>
      <c r="E15" s="73"/>
      <c r="F15" s="73"/>
      <c r="G15" s="48"/>
      <c r="H15" s="47"/>
      <c r="I15" s="74" t="s">
        <v>8</v>
      </c>
      <c r="J15" s="75"/>
      <c r="K15" s="76"/>
      <c r="L15" s="65"/>
      <c r="M15" s="47"/>
      <c r="N15" s="47"/>
      <c r="O15" s="47"/>
      <c r="P15" s="47"/>
      <c r="Q15" s="107" t="s">
        <v>8</v>
      </c>
      <c r="R15" s="108"/>
      <c r="S15" s="109"/>
      <c r="T15" s="65"/>
      <c r="U15" s="48"/>
      <c r="V15" s="47"/>
      <c r="W15" s="77"/>
      <c r="X15" s="77"/>
      <c r="Y15" s="77"/>
      <c r="Z15" s="78"/>
      <c r="AA15" s="47"/>
      <c r="AB15" s="47"/>
      <c r="AC15" s="47"/>
      <c r="AD15" s="47"/>
      <c r="AE15" s="47"/>
      <c r="AF15" s="47"/>
      <c r="AG15" s="47"/>
    </row>
    <row r="16" spans="1:33" x14ac:dyDescent="0.25">
      <c r="A16" s="47"/>
      <c r="B16" s="79"/>
      <c r="C16" s="80"/>
      <c r="D16" s="80"/>
      <c r="E16" s="80"/>
      <c r="F16" s="80"/>
      <c r="G16" s="48"/>
      <c r="H16" s="47"/>
      <c r="I16" s="81" t="s">
        <v>9</v>
      </c>
      <c r="J16" s="82"/>
      <c r="K16" s="83"/>
      <c r="L16" s="84"/>
      <c r="M16" s="47"/>
      <c r="N16" s="47"/>
      <c r="O16" s="47"/>
      <c r="P16" s="47"/>
      <c r="Q16" s="112" t="s">
        <v>9</v>
      </c>
      <c r="R16" s="110"/>
      <c r="S16" s="111"/>
      <c r="T16" s="84"/>
      <c r="U16" s="48"/>
      <c r="V16" s="47"/>
      <c r="W16" s="77"/>
      <c r="X16" s="77"/>
      <c r="Y16" s="77"/>
      <c r="Z16" s="85"/>
      <c r="AA16" s="47"/>
      <c r="AB16" s="47"/>
      <c r="AC16" s="47"/>
      <c r="AD16" s="47"/>
      <c r="AE16" s="47"/>
      <c r="AF16" s="47"/>
      <c r="AG16" s="47"/>
    </row>
    <row r="17" spans="1:33" x14ac:dyDescent="0.25">
      <c r="A17" s="47"/>
      <c r="B17" s="47"/>
      <c r="C17" s="47"/>
      <c r="D17" s="47"/>
      <c r="E17" s="48"/>
      <c r="F17" s="48"/>
      <c r="G17" s="48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</row>
    <row r="18" spans="1:33" x14ac:dyDescent="0.25">
      <c r="A18" s="47"/>
      <c r="B18" s="47"/>
      <c r="C18" s="47"/>
      <c r="D18" s="47"/>
      <c r="E18" s="48"/>
      <c r="F18" s="48"/>
      <c r="G18" s="48"/>
      <c r="H18" s="47"/>
      <c r="I18" s="24" t="s">
        <v>10</v>
      </c>
      <c r="J18" s="86"/>
      <c r="K18" s="86"/>
      <c r="L18" s="25"/>
      <c r="M18" s="47"/>
      <c r="N18" s="47"/>
      <c r="O18" s="47"/>
      <c r="P18" s="47"/>
      <c r="Q18" s="113" t="s">
        <v>11</v>
      </c>
      <c r="R18" s="113"/>
      <c r="S18" s="113"/>
      <c r="T18" s="114"/>
      <c r="U18" s="48"/>
      <c r="V18" s="47"/>
      <c r="W18" s="73"/>
      <c r="X18" s="73"/>
      <c r="Y18" s="73"/>
      <c r="Z18" s="87"/>
      <c r="AA18" s="47"/>
      <c r="AB18" s="47"/>
      <c r="AC18" s="47"/>
      <c r="AD18" s="47"/>
      <c r="AE18" s="47"/>
      <c r="AF18" s="47"/>
      <c r="AG18" s="47"/>
    </row>
    <row r="19" spans="1:33" x14ac:dyDescent="0.25">
      <c r="A19" s="47"/>
      <c r="B19" s="47"/>
      <c r="C19" s="47"/>
      <c r="D19" s="47"/>
      <c r="E19" s="48"/>
      <c r="F19" s="48"/>
      <c r="G19" s="48"/>
      <c r="H19" s="47"/>
      <c r="M19" s="47"/>
      <c r="N19" s="47"/>
      <c r="O19" s="47"/>
      <c r="P19" s="47"/>
      <c r="U19" s="48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</row>
    <row r="20" spans="1:33" x14ac:dyDescent="0.25">
      <c r="A20" s="47"/>
      <c r="B20" s="47"/>
      <c r="C20" s="47"/>
      <c r="D20" s="47"/>
      <c r="E20" s="48"/>
      <c r="F20" s="48"/>
      <c r="G20" s="48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</row>
    <row r="21" spans="1:33" x14ac:dyDescent="0.25">
      <c r="A21" s="47"/>
      <c r="B21" s="47"/>
      <c r="C21" s="47"/>
      <c r="D21" s="47"/>
      <c r="E21" s="48"/>
      <c r="F21" s="48"/>
      <c r="G21" s="48"/>
      <c r="H21" s="47"/>
      <c r="I21" s="73" t="s">
        <v>12</v>
      </c>
      <c r="J21" s="73"/>
      <c r="K21" s="73"/>
      <c r="L21" s="87"/>
      <c r="M21" s="47"/>
      <c r="N21" s="47"/>
      <c r="O21" s="47"/>
      <c r="P21" s="47"/>
      <c r="Q21" s="73" t="s">
        <v>12</v>
      </c>
      <c r="R21" s="73"/>
      <c r="S21" s="73"/>
      <c r="T21" s="87"/>
      <c r="U21" s="48"/>
      <c r="V21" s="47"/>
      <c r="W21" s="73"/>
      <c r="X21" s="87"/>
      <c r="Y21" s="87"/>
      <c r="Z21" s="87"/>
      <c r="AA21" s="47"/>
      <c r="AB21" s="47"/>
      <c r="AC21" s="47"/>
      <c r="AD21" s="47"/>
      <c r="AE21" s="47"/>
      <c r="AF21" s="47"/>
      <c r="AG21" s="47"/>
    </row>
    <row r="22" spans="1:33" x14ac:dyDescent="0.25">
      <c r="A22" s="47"/>
      <c r="B22" s="47"/>
      <c r="C22" s="47"/>
      <c r="D22" s="47"/>
      <c r="E22" s="48"/>
      <c r="F22" s="48"/>
      <c r="G22" s="48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</row>
    <row r="23" spans="1:33" x14ac:dyDescent="0.25">
      <c r="A23" s="47"/>
      <c r="B23" s="47"/>
      <c r="C23" s="47"/>
      <c r="D23" s="47"/>
      <c r="E23" s="48"/>
      <c r="F23" s="48"/>
      <c r="G23" s="48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</row>
    <row r="24" spans="1:33" x14ac:dyDescent="0.25">
      <c r="A24" s="47"/>
      <c r="B24" s="47"/>
      <c r="C24" s="47"/>
      <c r="D24" s="47"/>
      <c r="E24" s="48"/>
      <c r="F24" s="48"/>
      <c r="G24" s="48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  <c r="V24" s="47"/>
      <c r="W24" s="73"/>
      <c r="X24" s="73"/>
      <c r="Y24" s="73"/>
      <c r="Z24" s="87"/>
      <c r="AA24" s="47"/>
      <c r="AB24" s="47"/>
      <c r="AC24" s="47"/>
      <c r="AD24" s="47"/>
      <c r="AE24" s="47"/>
      <c r="AF24" s="47"/>
      <c r="AG24" s="47"/>
    </row>
    <row r="25" spans="1:33" x14ac:dyDescent="0.25">
      <c r="A25" s="47"/>
      <c r="B25" s="47"/>
      <c r="C25" s="47"/>
      <c r="D25" s="47"/>
      <c r="E25" s="48"/>
      <c r="F25" s="48"/>
      <c r="G25" s="48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</row>
    <row r="26" spans="1:33" x14ac:dyDescent="0.25">
      <c r="A26" s="47"/>
      <c r="B26" s="47"/>
      <c r="C26" s="47"/>
      <c r="D26" s="47"/>
      <c r="E26" s="48"/>
      <c r="F26" s="48"/>
      <c r="G26" s="48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</row>
    <row r="27" spans="1:33" x14ac:dyDescent="0.25">
      <c r="A27" s="47"/>
      <c r="B27" s="88"/>
      <c r="C27" s="88"/>
      <c r="D27" s="88"/>
      <c r="E27" s="89"/>
      <c r="F27" s="73"/>
      <c r="G27" s="48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</row>
    <row r="28" spans="1:33" x14ac:dyDescent="0.25">
      <c r="A28" s="47"/>
      <c r="B28" s="78"/>
      <c r="C28" s="78"/>
      <c r="D28" s="78"/>
      <c r="E28" s="48"/>
      <c r="F28" s="89"/>
      <c r="G28" s="48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</row>
    <row r="29" spans="1:33" x14ac:dyDescent="0.25">
      <c r="A29" s="47"/>
      <c r="B29" s="48"/>
      <c r="C29" s="48"/>
      <c r="D29" s="48"/>
      <c r="E29" s="48"/>
      <c r="F29" s="90"/>
      <c r="G29" s="48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</row>
    <row r="30" spans="1:33" x14ac:dyDescent="0.25">
      <c r="A30" s="47"/>
      <c r="B30" s="48"/>
      <c r="C30" s="48"/>
      <c r="D30" s="48"/>
      <c r="E30" s="48"/>
      <c r="F30" s="90"/>
      <c r="G30" s="48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</row>
    <row r="31" spans="1:33" x14ac:dyDescent="0.25">
      <c r="A31" s="47"/>
      <c r="B31" s="48"/>
      <c r="C31" s="48"/>
      <c r="D31" s="48"/>
      <c r="E31" s="48"/>
      <c r="F31" s="90"/>
      <c r="G31" s="48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</row>
    <row r="32" spans="1:33" x14ac:dyDescent="0.25">
      <c r="A32" s="47"/>
      <c r="B32" s="48"/>
      <c r="C32" s="48"/>
      <c r="D32" s="48"/>
      <c r="E32" s="48"/>
      <c r="F32" s="90"/>
      <c r="G32" s="48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</row>
    <row r="33" spans="1:33" x14ac:dyDescent="0.25">
      <c r="A33" s="47"/>
      <c r="B33" s="48"/>
      <c r="C33" s="48"/>
      <c r="D33" s="48"/>
      <c r="E33" s="48"/>
      <c r="F33" s="90"/>
      <c r="G33" s="48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</row>
    <row r="34" spans="1:33" x14ac:dyDescent="0.25">
      <c r="A34" s="47"/>
      <c r="B34" s="48"/>
      <c r="C34" s="48"/>
      <c r="D34" s="48"/>
      <c r="E34" s="48"/>
      <c r="F34" s="90"/>
      <c r="G34" s="48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</row>
    <row r="35" spans="1:33" x14ac:dyDescent="0.25">
      <c r="A35" s="47"/>
      <c r="B35" s="91"/>
      <c r="C35" s="91"/>
      <c r="D35" s="91"/>
      <c r="E35" s="48"/>
      <c r="F35" s="90"/>
      <c r="G35" s="48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</row>
    <row r="36" spans="1:33" x14ac:dyDescent="0.25">
      <c r="A36" s="47"/>
      <c r="B36" s="47"/>
      <c r="C36" s="47"/>
      <c r="D36" s="47"/>
      <c r="E36" s="48"/>
      <c r="F36" s="48"/>
      <c r="G36" s="48"/>
      <c r="H36" s="47"/>
      <c r="I36" s="47"/>
      <c r="J36" s="47"/>
      <c r="K36" s="47"/>
      <c r="L36" s="47"/>
      <c r="M36" s="47"/>
      <c r="N36" s="92"/>
      <c r="O36" s="92"/>
      <c r="P36" s="47"/>
      <c r="Q36" s="47"/>
      <c r="R36" s="47"/>
      <c r="S36" s="47"/>
      <c r="T36" s="47"/>
      <c r="U36" s="48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</row>
    <row r="37" spans="1:33" x14ac:dyDescent="0.25">
      <c r="A37" s="47"/>
      <c r="B37" s="47"/>
      <c r="C37" s="47"/>
      <c r="D37" s="47"/>
      <c r="E37" s="48"/>
      <c r="F37" s="48"/>
      <c r="G37" s="48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</row>
    <row r="38" spans="1:33" x14ac:dyDescent="0.25">
      <c r="A38" s="47"/>
      <c r="B38" s="47"/>
      <c r="C38" s="47"/>
      <c r="D38" s="47"/>
      <c r="E38" s="48"/>
      <c r="F38" s="48"/>
      <c r="G38" s="48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</row>
    <row r="39" spans="1:33" x14ac:dyDescent="0.25">
      <c r="A39" s="47"/>
      <c r="B39" s="47"/>
      <c r="C39" s="47"/>
      <c r="D39" s="47"/>
      <c r="E39" s="48"/>
      <c r="F39" s="48"/>
      <c r="G39" s="48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</row>
    <row r="40" spans="1:33" x14ac:dyDescent="0.25">
      <c r="A40" s="47"/>
      <c r="B40" s="47"/>
      <c r="C40" s="47"/>
      <c r="D40" s="47"/>
      <c r="E40" s="48"/>
      <c r="F40" s="48"/>
      <c r="G40" s="48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</row>
    <row r="41" spans="1:33" x14ac:dyDescent="0.25">
      <c r="A41" s="47"/>
      <c r="B41" s="47"/>
      <c r="C41" s="47"/>
      <c r="D41" s="47"/>
      <c r="E41" s="48"/>
      <c r="F41" s="48"/>
      <c r="G41" s="48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</row>
    <row r="42" spans="1:33" x14ac:dyDescent="0.25">
      <c r="A42" s="47"/>
      <c r="B42" s="47"/>
      <c r="C42" s="47"/>
      <c r="D42" s="47"/>
      <c r="E42" s="48"/>
      <c r="F42" s="48"/>
      <c r="G42" s="48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</row>
    <row r="43" spans="1:33" x14ac:dyDescent="0.25">
      <c r="A43" s="47"/>
      <c r="B43" s="47"/>
      <c r="C43" s="47"/>
      <c r="D43" s="47"/>
      <c r="E43" s="48"/>
      <c r="F43" s="48"/>
      <c r="G43" s="48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</row>
    <row r="44" spans="1:33" x14ac:dyDescent="0.25">
      <c r="A44" s="47"/>
      <c r="B44" s="47"/>
      <c r="C44" s="47"/>
      <c r="D44" s="47"/>
      <c r="E44" s="48"/>
      <c r="F44" s="48"/>
      <c r="G44" s="48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</row>
    <row r="45" spans="1:33" x14ac:dyDescent="0.25">
      <c r="A45" s="47"/>
      <c r="B45" s="47"/>
      <c r="C45" s="47"/>
      <c r="D45" s="47"/>
      <c r="E45" s="48"/>
      <c r="F45" s="48"/>
      <c r="G45" s="48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</row>
    <row r="46" spans="1:33" x14ac:dyDescent="0.25">
      <c r="A46" s="47"/>
      <c r="B46" s="47"/>
      <c r="C46" s="47"/>
      <c r="D46" s="47"/>
      <c r="E46" s="48"/>
      <c r="F46" s="48"/>
      <c r="G46" s="48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</row>
    <row r="47" spans="1:33" x14ac:dyDescent="0.25">
      <c r="A47" s="47"/>
      <c r="B47" s="47"/>
      <c r="C47" s="47"/>
      <c r="D47" s="47"/>
      <c r="E47" s="48"/>
      <c r="F47" s="48"/>
      <c r="G47" s="48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x14ac:dyDescent="0.25">
      <c r="A48" s="47"/>
      <c r="B48" s="47"/>
      <c r="C48" s="47"/>
      <c r="D48" s="47"/>
      <c r="E48" s="48"/>
      <c r="F48" s="48"/>
      <c r="G48" s="48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</row>
    <row r="49" spans="1:33" x14ac:dyDescent="0.25">
      <c r="A49" s="47"/>
      <c r="B49" s="47"/>
      <c r="C49" s="47"/>
      <c r="D49" s="47"/>
      <c r="E49" s="48"/>
      <c r="F49" s="48"/>
      <c r="G49" s="48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73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</row>
    <row r="50" spans="1:33" x14ac:dyDescent="0.25">
      <c r="A50" s="47"/>
      <c r="B50" s="47"/>
      <c r="C50" s="47"/>
      <c r="D50" s="47"/>
      <c r="E50" s="48"/>
      <c r="F50" s="48"/>
      <c r="G50" s="48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89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</row>
    <row r="51" spans="1:33" x14ac:dyDescent="0.25">
      <c r="A51" s="47"/>
      <c r="B51" s="47"/>
      <c r="C51" s="47"/>
      <c r="D51" s="47"/>
      <c r="E51" s="48"/>
      <c r="F51" s="48"/>
      <c r="G51" s="48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90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</row>
    <row r="52" spans="1:33" x14ac:dyDescent="0.25">
      <c r="A52" s="47"/>
      <c r="B52" s="47"/>
      <c r="C52" s="47"/>
      <c r="D52" s="47"/>
      <c r="E52" s="48"/>
      <c r="F52" s="48"/>
      <c r="G52" s="73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90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</row>
    <row r="53" spans="1:33" x14ac:dyDescent="0.25">
      <c r="A53" s="47"/>
      <c r="B53" s="47"/>
      <c r="C53" s="47"/>
      <c r="D53" s="47"/>
      <c r="E53" s="48"/>
      <c r="F53" s="48"/>
      <c r="G53" s="89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90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</row>
    <row r="54" spans="1:33" x14ac:dyDescent="0.25">
      <c r="A54" s="47"/>
      <c r="B54" s="47"/>
      <c r="C54" s="47"/>
      <c r="D54" s="47"/>
      <c r="E54" s="48"/>
      <c r="F54" s="48"/>
      <c r="G54" s="90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90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</row>
    <row r="55" spans="1:33" x14ac:dyDescent="0.25">
      <c r="A55" s="47"/>
      <c r="B55" s="47"/>
      <c r="C55" s="47"/>
      <c r="D55" s="47"/>
      <c r="E55" s="48"/>
      <c r="F55" s="48"/>
      <c r="G55" s="90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90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</row>
    <row r="56" spans="1:33" x14ac:dyDescent="0.25">
      <c r="A56" s="47"/>
      <c r="B56" s="47"/>
      <c r="C56" s="47"/>
      <c r="D56" s="47"/>
      <c r="E56" s="48"/>
      <c r="F56" s="48"/>
      <c r="G56" s="90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90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</row>
    <row r="57" spans="1:33" x14ac:dyDescent="0.25">
      <c r="A57" s="47"/>
      <c r="B57" s="47"/>
      <c r="C57" s="47"/>
      <c r="D57" s="47"/>
      <c r="E57" s="48"/>
      <c r="F57" s="48"/>
      <c r="G57" s="90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90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</row>
    <row r="58" spans="1:33" x14ac:dyDescent="0.25">
      <c r="A58" s="47"/>
      <c r="B58" s="47"/>
      <c r="C58" s="47"/>
      <c r="D58" s="47"/>
      <c r="E58" s="48"/>
      <c r="F58" s="48"/>
      <c r="G58" s="90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8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</row>
    <row r="59" spans="1:33" x14ac:dyDescent="0.25">
      <c r="A59" s="47"/>
      <c r="B59" s="47"/>
      <c r="C59" s="47"/>
      <c r="D59" s="47"/>
      <c r="E59" s="48"/>
      <c r="F59" s="48"/>
      <c r="G59" s="90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8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</row>
    <row r="60" spans="1:33" x14ac:dyDescent="0.25">
      <c r="A60" s="47"/>
      <c r="B60" s="47"/>
      <c r="C60" s="47"/>
      <c r="D60" s="47"/>
      <c r="E60" s="48"/>
      <c r="F60" s="48"/>
      <c r="G60" s="90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8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</row>
    <row r="61" spans="1:33" x14ac:dyDescent="0.25">
      <c r="A61" s="47"/>
      <c r="B61" s="47"/>
      <c r="C61" s="47"/>
      <c r="D61" s="47"/>
      <c r="E61" s="48"/>
      <c r="F61" s="48"/>
      <c r="G61" s="48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8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</row>
    <row r="62" spans="1:33" x14ac:dyDescent="0.25">
      <c r="A62" s="47"/>
      <c r="B62" s="47"/>
      <c r="C62" s="47"/>
      <c r="D62" s="47"/>
      <c r="E62" s="48"/>
      <c r="F62" s="48"/>
      <c r="G62" s="48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8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</row>
    <row r="63" spans="1:33" x14ac:dyDescent="0.25">
      <c r="A63" s="47"/>
      <c r="B63" s="47"/>
      <c r="C63" s="47"/>
      <c r="D63" s="47"/>
      <c r="E63" s="48"/>
      <c r="F63" s="48"/>
      <c r="G63" s="48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8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</row>
    <row r="64" spans="1:33" x14ac:dyDescent="0.25">
      <c r="A64" s="47"/>
      <c r="B64" s="47"/>
      <c r="C64" s="47"/>
      <c r="D64" s="47"/>
      <c r="E64" s="48"/>
      <c r="F64" s="48"/>
      <c r="G64" s="48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8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</row>
    <row r="65" spans="1:33" x14ac:dyDescent="0.25">
      <c r="A65" s="47"/>
      <c r="B65" s="47"/>
      <c r="C65" s="47"/>
      <c r="D65" s="47"/>
      <c r="E65" s="48"/>
      <c r="F65" s="48"/>
      <c r="G65" s="48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8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</row>
    <row r="66" spans="1:33" x14ac:dyDescent="0.25">
      <c r="A66" s="47"/>
      <c r="B66" s="47"/>
      <c r="C66" s="47"/>
      <c r="D66" s="47"/>
      <c r="E66" s="48"/>
      <c r="F66" s="48"/>
      <c r="G66" s="48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8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</row>
    <row r="67" spans="1:33" x14ac:dyDescent="0.25">
      <c r="A67" s="47"/>
      <c r="B67" s="47"/>
      <c r="C67" s="47"/>
      <c r="D67" s="47"/>
      <c r="E67" s="48"/>
      <c r="F67" s="48"/>
      <c r="G67" s="48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8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</row>
    <row r="68" spans="1:33" x14ac:dyDescent="0.25">
      <c r="A68" s="47"/>
      <c r="B68" s="47"/>
      <c r="C68" s="47"/>
      <c r="D68" s="47"/>
      <c r="E68" s="48"/>
      <c r="F68" s="48"/>
      <c r="G68" s="48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8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</row>
    <row r="69" spans="1:33" x14ac:dyDescent="0.25">
      <c r="A69" s="47"/>
      <c r="B69" s="47"/>
      <c r="C69" s="47"/>
      <c r="D69" s="47"/>
      <c r="E69" s="48"/>
      <c r="F69" s="48"/>
      <c r="G69" s="48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8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</row>
    <row r="70" spans="1:33" x14ac:dyDescent="0.25">
      <c r="A70" s="47"/>
      <c r="B70" s="47"/>
      <c r="C70" s="47"/>
      <c r="D70" s="47"/>
      <c r="E70" s="48"/>
      <c r="F70" s="48"/>
      <c r="G70" s="48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8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</row>
    <row r="71" spans="1:33" x14ac:dyDescent="0.25">
      <c r="A71" s="47"/>
      <c r="B71" s="47"/>
      <c r="C71" s="47"/>
      <c r="D71" s="47"/>
      <c r="E71" s="48"/>
      <c r="F71" s="48"/>
      <c r="G71" s="48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8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</row>
    <row r="72" spans="1:33" x14ac:dyDescent="0.25">
      <c r="A72" s="47"/>
      <c r="B72" s="47"/>
      <c r="C72" s="47"/>
      <c r="D72" s="47"/>
      <c r="E72" s="48"/>
      <c r="F72" s="48"/>
      <c r="G72" s="48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8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</row>
    <row r="73" spans="1:33" x14ac:dyDescent="0.25">
      <c r="A73" s="47"/>
      <c r="B73" s="47"/>
      <c r="C73" s="47"/>
      <c r="D73" s="47"/>
      <c r="E73" s="48"/>
      <c r="F73" s="48"/>
      <c r="G73" s="48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8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</row>
    <row r="74" spans="1:33" x14ac:dyDescent="0.25">
      <c r="A74" s="47"/>
      <c r="B74" s="47"/>
      <c r="C74" s="47"/>
      <c r="D74" s="47"/>
      <c r="E74" s="48"/>
      <c r="F74" s="48"/>
      <c r="G74" s="48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8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</row>
    <row r="75" spans="1:33" x14ac:dyDescent="0.25">
      <c r="A75" s="47"/>
      <c r="B75" s="47"/>
      <c r="C75" s="47"/>
      <c r="D75" s="47"/>
      <c r="E75" s="48"/>
      <c r="F75" s="48"/>
      <c r="G75" s="48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8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</row>
    <row r="76" spans="1:33" x14ac:dyDescent="0.25">
      <c r="A76" s="47"/>
      <c r="B76" s="47"/>
      <c r="C76" s="47"/>
      <c r="D76" s="47"/>
      <c r="E76" s="48"/>
      <c r="F76" s="48"/>
      <c r="G76" s="48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8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</row>
    <row r="77" spans="1:33" x14ac:dyDescent="0.25">
      <c r="A77" s="47"/>
      <c r="B77" s="47"/>
      <c r="C77" s="47"/>
      <c r="D77" s="47"/>
      <c r="E77" s="48"/>
      <c r="F77" s="48"/>
      <c r="G77" s="48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8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</row>
    <row r="78" spans="1:33" x14ac:dyDescent="0.25">
      <c r="A78" s="47"/>
      <c r="B78" s="47"/>
      <c r="C78" s="47"/>
      <c r="D78" s="47"/>
      <c r="E78" s="48"/>
      <c r="F78" s="48"/>
      <c r="G78" s="48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8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</row>
    <row r="79" spans="1:33" x14ac:dyDescent="0.25">
      <c r="A79" s="47"/>
      <c r="B79" s="47"/>
      <c r="C79" s="47"/>
      <c r="D79" s="47"/>
      <c r="E79" s="48"/>
      <c r="F79" s="48"/>
      <c r="G79" s="48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8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</row>
    <row r="80" spans="1:33" x14ac:dyDescent="0.25">
      <c r="A80" s="47"/>
      <c r="B80" s="47"/>
      <c r="C80" s="47"/>
      <c r="D80" s="47"/>
      <c r="E80" s="48"/>
      <c r="F80" s="48"/>
      <c r="G80" s="48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8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</row>
    <row r="81" spans="1:33" x14ac:dyDescent="0.25">
      <c r="A81" s="47"/>
      <c r="B81" s="47"/>
      <c r="C81" s="47"/>
      <c r="D81" s="47"/>
      <c r="E81" s="48"/>
      <c r="F81" s="48"/>
      <c r="G81" s="48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8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</row>
    <row r="82" spans="1:33" x14ac:dyDescent="0.25">
      <c r="A82" s="47"/>
      <c r="B82" s="47"/>
      <c r="C82" s="47"/>
      <c r="D82" s="47"/>
      <c r="E82" s="48"/>
      <c r="F82" s="48"/>
      <c r="G82" s="48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8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</row>
    <row r="83" spans="1:33" x14ac:dyDescent="0.25">
      <c r="A83" s="47"/>
      <c r="B83" s="47"/>
      <c r="C83" s="47"/>
      <c r="D83" s="47"/>
      <c r="E83" s="48"/>
      <c r="F83" s="48"/>
      <c r="G83" s="48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8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</row>
  </sheetData>
  <conditionalFormatting sqref="F29:F31">
    <cfRule type="containsText" dxfId="69" priority="12" operator="containsText" text="X">
      <formula>NOT(ISERROR(SEARCH("X",F29)))</formula>
    </cfRule>
  </conditionalFormatting>
  <conditionalFormatting sqref="G54:G56">
    <cfRule type="containsText" dxfId="68" priority="11" operator="containsText" text="X">
      <formula>NOT(ISERROR(SEARCH("X",G54)))</formula>
    </cfRule>
  </conditionalFormatting>
  <conditionalFormatting sqref="F32">
    <cfRule type="containsText" dxfId="67" priority="10" operator="containsText" text="X">
      <formula>NOT(ISERROR(SEARCH("X",F32)))</formula>
    </cfRule>
  </conditionalFormatting>
  <conditionalFormatting sqref="G57">
    <cfRule type="containsText" dxfId="66" priority="9" operator="containsText" text="X">
      <formula>NOT(ISERROR(SEARCH("X",G57)))</formula>
    </cfRule>
  </conditionalFormatting>
  <conditionalFormatting sqref="F33:F34">
    <cfRule type="containsText" dxfId="65" priority="8" operator="containsText" text="X">
      <formula>NOT(ISERROR(SEARCH("X",F33)))</formula>
    </cfRule>
  </conditionalFormatting>
  <conditionalFormatting sqref="G58:G59">
    <cfRule type="containsText" dxfId="64" priority="7" operator="containsText" text="X">
      <formula>NOT(ISERROR(SEARCH("X",G58)))</formula>
    </cfRule>
  </conditionalFormatting>
  <conditionalFormatting sqref="F35">
    <cfRule type="containsText" dxfId="63" priority="6" operator="containsText" text="X">
      <formula>NOT(ISERROR(SEARCH("X",F35)))</formula>
    </cfRule>
  </conditionalFormatting>
  <conditionalFormatting sqref="G60">
    <cfRule type="containsText" dxfId="62" priority="5" operator="containsText" text="X">
      <formula>NOT(ISERROR(SEARCH("X",G60)))</formula>
    </cfRule>
  </conditionalFormatting>
  <conditionalFormatting sqref="U51:U53">
    <cfRule type="containsText" dxfId="61" priority="4" operator="containsText" text="X">
      <formula>NOT(ISERROR(SEARCH("X",U51)))</formula>
    </cfRule>
  </conditionalFormatting>
  <conditionalFormatting sqref="U54">
    <cfRule type="containsText" dxfId="60" priority="3" operator="containsText" text="X">
      <formula>NOT(ISERROR(SEARCH("X",U54)))</formula>
    </cfRule>
  </conditionalFormatting>
  <conditionalFormatting sqref="U55:U56">
    <cfRule type="containsText" dxfId="59" priority="2" operator="containsText" text="X">
      <formula>NOT(ISERROR(SEARCH("X",U55)))</formula>
    </cfRule>
  </conditionalFormatting>
  <conditionalFormatting sqref="U57">
    <cfRule type="containsText" dxfId="58" priority="1" operator="containsText" text="X">
      <formula>NOT(ISERROR(SEARCH("X",U57)))</formula>
    </cfRule>
  </conditionalFormatting>
  <dataValidations count="3">
    <dataValidation type="whole" operator="greaterThanOrEqual" allowBlank="1" showInputMessage="1" showErrorMessage="1" errorTitle="&lt;&lt; FORMATAÇÃO INVÁLIDA &gt;&gt;" error="--- DATAS PRECISAM SER NÚMEROS E NÃO PODEM SER NEGATIVAS ---" sqref="L16 T16">
      <formula1>0</formula1>
    </dataValidation>
    <dataValidation type="whole" allowBlank="1" showInputMessage="1" showErrorMessage="1" errorTitle="&lt;&lt; FORMATAÇÃO INVÁLIDA &gt;&gt;" error="--- ESCREVA UM VALOR INTEIRO ENTRE 0 ATÉ 1000 ---" sqref="T4:T13 L4:L13 Z4:Z13 E11">
      <formula1>0</formula1>
      <formula2>1000</formula2>
    </dataValidation>
    <dataValidation type="custom" allowBlank="1" showInputMessage="1" showErrorMessage="1" errorTitle="&lt;&lt; FORMATAÇÃO INVÁLIDA &gt;&gt;" error="--- NOMES PRECISAM ESTAR EM MAIÚSCULO ---" sqref="L15 T15">
      <formula1>EXACT(L15,UPPER(L15))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66"/>
  </sheetPr>
  <dimension ref="A1:AV5"/>
  <sheetViews>
    <sheetView showRowColHeaders="0" zoomScale="130" zoomScaleNormal="130" workbookViewId="0">
      <pane ySplit="2" topLeftCell="A3" activePane="bottomLeft" state="frozen"/>
      <selection pane="bottomLeft" activeCell="B12" sqref="B12"/>
    </sheetView>
  </sheetViews>
  <sheetFormatPr defaultRowHeight="15" x14ac:dyDescent="0.25"/>
  <cols>
    <col min="1" max="1" width="3" style="78" customWidth="1"/>
    <col min="2" max="2" width="15.85546875" style="88" bestFit="1" customWidth="1"/>
    <col min="3" max="3" width="11.85546875" style="93" bestFit="1" customWidth="1"/>
    <col min="4" max="4" width="10.28515625" style="94" bestFit="1" customWidth="1"/>
    <col min="5" max="13" width="12.42578125" style="78" bestFit="1" customWidth="1"/>
    <col min="14" max="14" width="13.5703125" style="78" bestFit="1" customWidth="1"/>
    <col min="15" max="15" width="13.140625" style="78" bestFit="1" customWidth="1"/>
    <col min="16" max="16" width="11.42578125" style="78" bestFit="1" customWidth="1"/>
    <col min="17" max="17" width="15.42578125" style="78" bestFit="1" customWidth="1"/>
    <col min="18" max="18" width="13.140625" style="78" bestFit="1" customWidth="1"/>
    <col min="19" max="19" width="15.85546875" style="78" bestFit="1" customWidth="1"/>
    <col min="20" max="20" width="18.42578125" style="78" bestFit="1" customWidth="1"/>
    <col min="21" max="21" width="10" style="78" bestFit="1" customWidth="1"/>
    <col min="22" max="22" width="9.5703125" style="78" bestFit="1" customWidth="1"/>
    <col min="23" max="23" width="15.140625" style="78" bestFit="1" customWidth="1"/>
    <col min="24" max="24" width="23.5703125" style="78" bestFit="1" customWidth="1"/>
    <col min="25" max="25" width="25.42578125" style="78" bestFit="1" customWidth="1"/>
    <col min="26" max="26" width="31" style="78" bestFit="1" customWidth="1"/>
    <col min="27" max="27" width="22" style="78" bestFit="1" customWidth="1"/>
    <col min="28" max="28" width="13.140625" style="78" bestFit="1" customWidth="1"/>
    <col min="29" max="29" width="15.7109375" style="78" bestFit="1" customWidth="1"/>
    <col min="30" max="30" width="19.42578125" style="78" bestFit="1" customWidth="1"/>
    <col min="31" max="32" width="15.28515625" style="78" bestFit="1" customWidth="1"/>
    <col min="33" max="34" width="14.28515625" style="78" bestFit="1" customWidth="1"/>
    <col min="35" max="35" width="9.85546875" style="78" bestFit="1" customWidth="1"/>
    <col min="36" max="36" width="6.140625" style="78" bestFit="1" customWidth="1"/>
    <col min="37" max="37" width="9.28515625" style="78" bestFit="1" customWidth="1"/>
    <col min="38" max="39" width="9.140625" style="78" bestFit="1" customWidth="1"/>
    <col min="40" max="48" width="9.140625" style="78"/>
    <col min="49" max="16384" width="9.140625" style="40"/>
  </cols>
  <sheetData>
    <row r="1" spans="2:48" ht="7.5" customHeight="1" x14ac:dyDescent="0.25"/>
    <row r="2" spans="2:48" x14ac:dyDescent="0.25">
      <c r="B2" s="41" t="s">
        <v>47</v>
      </c>
      <c r="C2" s="42" t="s">
        <v>48</v>
      </c>
      <c r="D2" s="41" t="s">
        <v>49</v>
      </c>
      <c r="E2" s="41" t="s">
        <v>66</v>
      </c>
      <c r="F2" s="41" t="s">
        <v>69</v>
      </c>
      <c r="G2" s="41" t="s">
        <v>71</v>
      </c>
      <c r="H2" s="41" t="s">
        <v>73</v>
      </c>
      <c r="I2" s="41" t="s">
        <v>75</v>
      </c>
      <c r="J2" s="41" t="s">
        <v>77</v>
      </c>
      <c r="K2" s="41" t="s">
        <v>79</v>
      </c>
      <c r="L2" s="41" t="s">
        <v>81</v>
      </c>
      <c r="M2" s="41" t="s">
        <v>83</v>
      </c>
      <c r="N2" s="41" t="s">
        <v>85</v>
      </c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6"/>
      <c r="AO2" s="96"/>
      <c r="AP2" s="96"/>
      <c r="AQ2" s="96"/>
      <c r="AR2" s="96"/>
      <c r="AS2" s="96"/>
      <c r="AT2" s="96"/>
      <c r="AU2" s="96"/>
      <c r="AV2" s="96"/>
    </row>
    <row r="3" spans="2:48" x14ac:dyDescent="0.25">
      <c r="B3" s="88" t="s">
        <v>50</v>
      </c>
      <c r="C3" s="93">
        <v>46165</v>
      </c>
      <c r="D3" s="94" t="s">
        <v>51</v>
      </c>
      <c r="E3" s="78">
        <v>5</v>
      </c>
      <c r="F3" s="78">
        <v>6</v>
      </c>
      <c r="G3" s="78">
        <v>3</v>
      </c>
      <c r="I3" s="78">
        <v>4</v>
      </c>
    </row>
    <row r="4" spans="2:48" x14ac:dyDescent="0.25">
      <c r="B4" s="88" t="s">
        <v>50</v>
      </c>
      <c r="C4" s="93">
        <v>46213</v>
      </c>
      <c r="D4" s="94" t="s">
        <v>51</v>
      </c>
      <c r="F4" s="78">
        <v>1</v>
      </c>
      <c r="G4" s="78">
        <v>1</v>
      </c>
    </row>
    <row r="5" spans="2:48" x14ac:dyDescent="0.25">
      <c r="B5" s="88" t="s">
        <v>60</v>
      </c>
      <c r="C5" s="93">
        <v>46239</v>
      </c>
      <c r="D5" s="94" t="s">
        <v>54</v>
      </c>
      <c r="G5" s="78">
        <v>4</v>
      </c>
    </row>
  </sheetData>
  <conditionalFormatting sqref="D10006:D1048576 D1:D4">
    <cfRule type="containsText" dxfId="11" priority="9" operator="containsText" text="RETIRADA">
      <formula>NOT(ISERROR(SEARCH("RETIRADA",D1)))</formula>
    </cfRule>
    <cfRule type="containsText" dxfId="10" priority="10" operator="containsText" text="ENTRADA">
      <formula>NOT(ISERROR(SEARCH("ENTRADA",D1)))</formula>
    </cfRule>
  </conditionalFormatting>
  <conditionalFormatting sqref="B3:N4">
    <cfRule type="expression" dxfId="9" priority="11">
      <formula>AND($B3&lt;&gt;"",MOD(ROW(),2)=1)</formula>
    </cfRule>
    <cfRule type="expression" dxfId="8" priority="12">
      <formula>AND($B3&lt;&gt;"",MOD(ROW(),2)=0)</formula>
    </cfRule>
  </conditionalFormatting>
  <conditionalFormatting sqref="D5">
    <cfRule type="containsText" dxfId="7" priority="5" operator="containsText" text="RETIRADA">
      <formula>NOT(ISERROR(SEARCH("RETIRADA",D5)))</formula>
    </cfRule>
    <cfRule type="containsText" dxfId="6" priority="6" operator="containsText" text="ENTRADA">
      <formula>NOT(ISERROR(SEARCH("ENTRADA",D5)))</formula>
    </cfRule>
  </conditionalFormatting>
  <conditionalFormatting sqref="B5:N5">
    <cfRule type="expression" dxfId="5" priority="7">
      <formula>AND($B5&lt;&gt;"",MOD(ROW(),2)=1)</formula>
    </cfRule>
    <cfRule type="expression" dxfId="4" priority="8">
      <formula>AND($B5&lt;&gt;"",MOD(ROW(),2)=0)</formula>
    </cfRule>
  </conditionalFormatting>
  <conditionalFormatting sqref="D6:D10005">
    <cfRule type="containsText" dxfId="3" priority="1" operator="containsText" text="RETIRADA">
      <formula>NOT(ISERROR(SEARCH("RETIRADA",D6)))</formula>
    </cfRule>
    <cfRule type="containsText" dxfId="2" priority="2" operator="containsText" text="ENTRADA">
      <formula>NOT(ISERROR(SEARCH("ENTRADA",D6)))</formula>
    </cfRule>
  </conditionalFormatting>
  <conditionalFormatting sqref="B6:N10005">
    <cfRule type="expression" dxfId="1" priority="3">
      <formula>AND($B6&lt;&gt;"",MOD(ROW(),2)=1)</formula>
    </cfRule>
    <cfRule type="expression" dxfId="0" priority="4">
      <formula>AND($B6&lt;&gt;"",MOD(ROW(),2)=0)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Estoque</vt:lpstr>
      <vt:lpstr>Registro</vt:lpstr>
      <vt:lpstr>EstoqueLampada</vt:lpstr>
      <vt:lpstr>RegistroLampada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2026-10-15T19:27:16Z</dcterms:modified>
</cp:coreProperties>
</file>